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usa/states/usa_ma_ets/"/>
    </mc:Choice>
  </mc:AlternateContent>
  <xr:revisionPtr revIDLastSave="52" documentId="13_ncr:1_{74DB58E7-DC51-AA40-8584-51670E328454}" xr6:coauthVersionLast="47" xr6:coauthVersionMax="47" xr10:uidLastSave="{701CC324-4B49-E348-9432-8121E6F6E261}"/>
  <bookViews>
    <workbookView xWindow="0" yWindow="500" windowWidth="21800" windowHeight="13880" xr2:uid="{B021289F-1952-BE4F-8B2D-03D6C1F2A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" i="1" l="1"/>
  <c r="F7" i="1"/>
  <c r="F16" i="1"/>
  <c r="F4" i="1"/>
  <c r="F5" i="1"/>
  <c r="F2" i="1"/>
</calcChain>
</file>

<file path=xl/sharedStrings.xml><?xml version="1.0" encoding="utf-8"?>
<sst xmlns="http://schemas.openxmlformats.org/spreadsheetml/2006/main" count="24" uniqueCount="24">
  <si>
    <t>clearing_price</t>
  </si>
  <si>
    <t>auction_number</t>
  </si>
  <si>
    <t>auction_date</t>
  </si>
  <si>
    <t>vintage_year</t>
  </si>
  <si>
    <t>2019-1</t>
  </si>
  <si>
    <t>2019-2</t>
  </si>
  <si>
    <t>2020-1</t>
  </si>
  <si>
    <t>qty_allowances</t>
  </si>
  <si>
    <t>2021-1</t>
  </si>
  <si>
    <t>2021-2</t>
  </si>
  <si>
    <t>2022-1</t>
  </si>
  <si>
    <t>allowance_weighted_yearly_average</t>
  </si>
  <si>
    <t>2022-2</t>
  </si>
  <si>
    <t>2022-3</t>
  </si>
  <si>
    <t>2022-4</t>
  </si>
  <si>
    <t>2023-1</t>
  </si>
  <si>
    <t>2023-2</t>
  </si>
  <si>
    <t>2023-3</t>
  </si>
  <si>
    <t>2023-4</t>
  </si>
  <si>
    <t>2024-1</t>
  </si>
  <si>
    <t>2024-2</t>
  </si>
  <si>
    <t>2024-3</t>
  </si>
  <si>
    <t>2024-4</t>
  </si>
  <si>
    <t>2025-1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</si>
</sst>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52027-0DEB-BB49-AE53-670E8F83B488}">
  <dimension ref="A1:F19"/>
  <sheetViews>
    <sheetView tabSelected="1" workbookViewId="0">
      <selection activeCell="D20" sqref="D20"/>
    </sheetView>
  </sheetViews>
  <sheetFormatPr baseColWidth="10" defaultColWidth="11" defaultRowHeight="16" x14ac:dyDescent="0.2"/>
  <sheetData>
    <row r="1" spans="1:6" x14ac:dyDescent="0.2">
      <c r="A1" t="s">
        <v>1</v>
      </c>
      <c r="B1" t="s">
        <v>2</v>
      </c>
      <c r="C1" t="s">
        <v>3</v>
      </c>
      <c r="D1" t="s">
        <v>7</v>
      </c>
      <c r="E1" t="s">
        <v>0</v>
      </c>
      <c r="F1" t="s">
        <v>11</v>
      </c>
    </row>
    <row r="2" spans="1:6" x14ac:dyDescent="0.2">
      <c r="A2" t="s">
        <v>4</v>
      </c>
      <c r="B2" s="1">
        <v>43452</v>
      </c>
      <c r="C2">
        <v>2019</v>
      </c>
      <c r="E2">
        <v>6.71</v>
      </c>
      <c r="F2">
        <f>(E2+E3)/2</f>
        <v>7.4849999999999994</v>
      </c>
    </row>
    <row r="3" spans="1:6" x14ac:dyDescent="0.2">
      <c r="A3" t="s">
        <v>5</v>
      </c>
      <c r="B3" s="1">
        <v>43816</v>
      </c>
      <c r="C3">
        <v>2019</v>
      </c>
      <c r="E3">
        <v>8.26</v>
      </c>
    </row>
    <row r="4" spans="1:6" x14ac:dyDescent="0.2">
      <c r="A4" t="s">
        <v>6</v>
      </c>
      <c r="B4" s="1">
        <v>44096</v>
      </c>
      <c r="C4">
        <v>2020</v>
      </c>
      <c r="D4">
        <v>502503</v>
      </c>
      <c r="E4">
        <v>7.5</v>
      </c>
      <c r="F4">
        <f>E4</f>
        <v>7.5</v>
      </c>
    </row>
    <row r="5" spans="1:6" x14ac:dyDescent="0.2">
      <c r="A5" t="s">
        <v>8</v>
      </c>
      <c r="B5" s="1">
        <v>44181</v>
      </c>
      <c r="C5">
        <v>2021</v>
      </c>
      <c r="D5">
        <v>1656685</v>
      </c>
      <c r="E5">
        <v>7.25</v>
      </c>
      <c r="F5">
        <f>(E5*D5+E6*D6)/SUM(D5:D6)</f>
        <v>6.875</v>
      </c>
    </row>
    <row r="6" spans="1:6" x14ac:dyDescent="0.2">
      <c r="A6" t="s">
        <v>9</v>
      </c>
      <c r="B6" s="1">
        <v>44266</v>
      </c>
      <c r="C6">
        <v>2021</v>
      </c>
      <c r="D6">
        <v>1656685</v>
      </c>
      <c r="E6">
        <v>6.5</v>
      </c>
    </row>
    <row r="7" spans="1:6" x14ac:dyDescent="0.2">
      <c r="A7" t="s">
        <v>10</v>
      </c>
      <c r="B7" s="1">
        <v>44547</v>
      </c>
      <c r="C7">
        <v>2022</v>
      </c>
      <c r="D7">
        <v>1611909</v>
      </c>
      <c r="E7">
        <v>9.75</v>
      </c>
      <c r="F7">
        <f>SUMPRODUCT(D7:D10,E7:E10)/SUM(D7:D10)</f>
        <v>8.1666472051118948</v>
      </c>
    </row>
    <row r="8" spans="1:6" x14ac:dyDescent="0.2">
      <c r="A8" t="s">
        <v>12</v>
      </c>
      <c r="B8" s="1">
        <v>44638</v>
      </c>
      <c r="C8">
        <v>2022</v>
      </c>
      <c r="D8">
        <v>1611909</v>
      </c>
      <c r="E8">
        <v>0.5</v>
      </c>
    </row>
    <row r="9" spans="1:6" x14ac:dyDescent="0.2">
      <c r="A9" t="s">
        <v>13</v>
      </c>
      <c r="B9" s="1">
        <v>44722</v>
      </c>
      <c r="C9">
        <v>2022</v>
      </c>
      <c r="D9">
        <v>1203642</v>
      </c>
      <c r="E9">
        <v>9.75</v>
      </c>
    </row>
    <row r="10" spans="1:6" x14ac:dyDescent="0.2">
      <c r="A10" t="s">
        <v>14</v>
      </c>
      <c r="B10" s="1">
        <v>44820</v>
      </c>
      <c r="C10">
        <v>2022</v>
      </c>
      <c r="D10">
        <v>1203642</v>
      </c>
      <c r="E10">
        <v>14.73</v>
      </c>
    </row>
    <row r="11" spans="1:6" x14ac:dyDescent="0.2">
      <c r="A11" t="s">
        <v>15</v>
      </c>
      <c r="B11" s="1">
        <v>44911</v>
      </c>
      <c r="C11">
        <v>2023</v>
      </c>
      <c r="D11">
        <v>1175351</v>
      </c>
      <c r="E11">
        <v>14.2</v>
      </c>
      <c r="F11">
        <f>SUMPRODUCT(D11:D14,E11:E14)/SUM(D11:D14)</f>
        <v>9.2018454345845342</v>
      </c>
    </row>
    <row r="12" spans="1:6" x14ac:dyDescent="0.2">
      <c r="A12" t="s">
        <v>16</v>
      </c>
      <c r="B12" s="1">
        <v>45002</v>
      </c>
      <c r="C12">
        <v>2023</v>
      </c>
      <c r="D12">
        <v>1175351</v>
      </c>
      <c r="E12">
        <v>12.05</v>
      </c>
    </row>
    <row r="13" spans="1:6" x14ac:dyDescent="0.2">
      <c r="A13" t="s">
        <v>17</v>
      </c>
      <c r="B13" s="1">
        <v>45093</v>
      </c>
      <c r="C13">
        <v>2023</v>
      </c>
      <c r="D13">
        <v>1536084</v>
      </c>
      <c r="E13">
        <v>9.4</v>
      </c>
    </row>
    <row r="14" spans="1:6" x14ac:dyDescent="0.2">
      <c r="A14" t="s">
        <v>18</v>
      </c>
      <c r="B14" s="1">
        <v>45184</v>
      </c>
      <c r="C14">
        <v>2023</v>
      </c>
      <c r="D14">
        <v>1536083</v>
      </c>
      <c r="E14">
        <v>3</v>
      </c>
    </row>
    <row r="15" spans="1:6" x14ac:dyDescent="0.2">
      <c r="A15" t="s">
        <v>19</v>
      </c>
      <c r="B15" s="1">
        <v>45275</v>
      </c>
      <c r="C15">
        <v>2023</v>
      </c>
      <c r="D15">
        <v>761180</v>
      </c>
      <c r="E15">
        <v>2.25</v>
      </c>
    </row>
    <row r="16" spans="1:6" x14ac:dyDescent="0.2">
      <c r="A16" t="s">
        <v>20</v>
      </c>
      <c r="B16" s="1">
        <v>45366</v>
      </c>
      <c r="C16">
        <v>2024</v>
      </c>
      <c r="D16">
        <v>761180</v>
      </c>
      <c r="E16">
        <v>2.25</v>
      </c>
      <c r="F16">
        <f>SUMPRODUCT(D16:D19,E16:E19)/SUM(D16:D19)</f>
        <v>3.3459095963663161</v>
      </c>
    </row>
    <row r="17" spans="1:5" x14ac:dyDescent="0.2">
      <c r="A17" t="s">
        <v>21</v>
      </c>
      <c r="B17" s="1">
        <v>45457</v>
      </c>
      <c r="C17">
        <v>2024</v>
      </c>
      <c r="D17">
        <v>1178160</v>
      </c>
      <c r="E17">
        <v>1.25</v>
      </c>
    </row>
    <row r="18" spans="1:5" x14ac:dyDescent="0.2">
      <c r="A18" t="s">
        <v>22</v>
      </c>
      <c r="B18" s="1">
        <v>45558</v>
      </c>
      <c r="C18">
        <v>2024</v>
      </c>
      <c r="D18">
        <v>1178159</v>
      </c>
      <c r="E18">
        <v>5.65</v>
      </c>
    </row>
    <row r="19" spans="1:5" x14ac:dyDescent="0.2">
      <c r="A19" t="s">
        <v>23</v>
      </c>
      <c r="B19" s="1">
        <v>45637</v>
      </c>
      <c r="C19">
        <v>2025</v>
      </c>
      <c r="D19">
        <v>358202</v>
      </c>
      <c r="E19">
        <v>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Dolphin</dc:creator>
  <cp:lastModifiedBy>Ulysse De Jong</cp:lastModifiedBy>
  <dcterms:created xsi:type="dcterms:W3CDTF">2022-04-25T02:54:56Z</dcterms:created>
  <dcterms:modified xsi:type="dcterms:W3CDTF">2025-03-04T17:56:07Z</dcterms:modified>
</cp:coreProperties>
</file>