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usa/states/usa_ca_ets/"/>
    </mc:Choice>
  </mc:AlternateContent>
  <xr:revisionPtr revIDLastSave="0" documentId="13_ncr:40009_{4EECBDE8-4C34-564C-AF03-7BA51E1B1547}" xr6:coauthVersionLast="47" xr6:coauthVersionMax="47" xr10:uidLastSave="{00000000-0000-0000-0000-000000000000}"/>
  <bookViews>
    <workbookView xWindow="1820" yWindow="1680" windowWidth="26040" windowHeight="14440"/>
  </bookViews>
  <sheets>
    <sheet name="usa_ca_ets_price_calculation" sheetId="1" r:id="rId1"/>
  </sheets>
  <calcPr calcId="0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<sst xmlns="http://schemas.openxmlformats.org/spreadsheetml/2006/main" count="8" uniqueCount="8">
  <si>
    <t>auction_year</t>
  </si>
  <si>
    <t>auction_month</t>
  </si>
  <si>
    <t>auction_number</t>
  </si>
  <si>
    <t>auction_settlement_price</t>
  </si>
  <si>
    <t>allowances_sold</t>
  </si>
  <si>
    <t>yr_average</t>
  </si>
  <si>
    <t>source</t>
  </si>
  <si>
    <t>CARB auction results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</si>
</sst>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I12" sqref="I1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">
      <c r="A2">
        <v>2024</v>
      </c>
      <c r="B2">
        <v>11</v>
      </c>
      <c r="C2">
        <v>41</v>
      </c>
      <c r="D2">
        <v>31.91</v>
      </c>
      <c r="E2">
        <v>52629612</v>
      </c>
      <c r="F2" s="2">
        <f>SUMPRODUCT(E2:E5, D2:D5)/SUM(E2:E5)</f>
        <v>35.213877924788868</v>
      </c>
    </row>
    <row r="3" spans="1:9" x14ac:dyDescent="0.2">
      <c r="A3">
        <v>2024</v>
      </c>
      <c r="B3">
        <v>8</v>
      </c>
      <c r="C3">
        <v>40</v>
      </c>
      <c r="D3">
        <v>30.24</v>
      </c>
      <c r="E3" s="1">
        <v>51179715</v>
      </c>
    </row>
    <row r="4" spans="1:9" x14ac:dyDescent="0.2">
      <c r="A4">
        <v>2024</v>
      </c>
      <c r="B4">
        <v>5</v>
      </c>
      <c r="C4">
        <v>39</v>
      </c>
      <c r="D4">
        <v>37.020000000000003</v>
      </c>
      <c r="E4" s="1">
        <v>51589488</v>
      </c>
    </row>
    <row r="5" spans="1:9" x14ac:dyDescent="0.2">
      <c r="A5">
        <v>2024</v>
      </c>
      <c r="B5">
        <v>2</v>
      </c>
      <c r="C5">
        <v>38</v>
      </c>
      <c r="D5">
        <v>41.76</v>
      </c>
      <c r="E5" s="1">
        <v>51216056</v>
      </c>
    </row>
    <row r="6" spans="1:9" x14ac:dyDescent="0.2">
      <c r="A6">
        <v>2023</v>
      </c>
      <c r="B6">
        <v>11</v>
      </c>
      <c r="C6">
        <v>37</v>
      </c>
      <c r="D6">
        <v>38.729999999999997</v>
      </c>
      <c r="E6" s="1">
        <v>57617565</v>
      </c>
      <c r="F6">
        <v>33.06</v>
      </c>
    </row>
    <row r="7" spans="1:9" x14ac:dyDescent="0.2">
      <c r="A7">
        <v>2023</v>
      </c>
      <c r="B7">
        <v>8</v>
      </c>
      <c r="C7">
        <v>36</v>
      </c>
      <c r="D7">
        <v>35.200000000000003</v>
      </c>
      <c r="E7" s="1">
        <v>55760384</v>
      </c>
    </row>
    <row r="8" spans="1:9" x14ac:dyDescent="0.2">
      <c r="A8">
        <v>2023</v>
      </c>
      <c r="B8">
        <v>5</v>
      </c>
      <c r="C8">
        <v>35</v>
      </c>
      <c r="D8">
        <v>30.33</v>
      </c>
      <c r="E8" s="1">
        <v>56084237</v>
      </c>
    </row>
    <row r="9" spans="1:9" x14ac:dyDescent="0.2">
      <c r="A9">
        <v>2023</v>
      </c>
      <c r="B9">
        <v>2</v>
      </c>
      <c r="C9">
        <v>34</v>
      </c>
      <c r="D9">
        <v>27.85</v>
      </c>
      <c r="E9" s="1">
        <v>56395720</v>
      </c>
    </row>
    <row r="10" spans="1:9" x14ac:dyDescent="0.2">
      <c r="A10">
        <v>2022</v>
      </c>
      <c r="B10">
        <v>11</v>
      </c>
      <c r="C10">
        <v>33</v>
      </c>
      <c r="D10">
        <v>26.8</v>
      </c>
      <c r="E10" s="1">
        <v>58020854</v>
      </c>
      <c r="F10">
        <v>28.46</v>
      </c>
    </row>
    <row r="11" spans="1:9" x14ac:dyDescent="0.2">
      <c r="A11">
        <v>2022</v>
      </c>
      <c r="B11">
        <v>8</v>
      </c>
      <c r="C11">
        <v>32</v>
      </c>
      <c r="D11">
        <v>27</v>
      </c>
      <c r="E11" s="1">
        <v>56956085</v>
      </c>
    </row>
    <row r="12" spans="1:9" x14ac:dyDescent="0.2">
      <c r="A12">
        <v>2022</v>
      </c>
      <c r="B12">
        <v>5</v>
      </c>
      <c r="C12">
        <v>31</v>
      </c>
      <c r="D12">
        <v>30.85</v>
      </c>
      <c r="E12" s="1">
        <v>58331300</v>
      </c>
    </row>
    <row r="13" spans="1:9" x14ac:dyDescent="0.2">
      <c r="A13">
        <v>2022</v>
      </c>
      <c r="B13">
        <v>2</v>
      </c>
      <c r="C13">
        <v>30</v>
      </c>
      <c r="D13">
        <v>29.15</v>
      </c>
      <c r="E13" s="1">
        <v>58527697</v>
      </c>
    </row>
    <row r="14" spans="1:9" x14ac:dyDescent="0.2">
      <c r="A14">
        <v>2021</v>
      </c>
      <c r="B14">
        <v>11</v>
      </c>
      <c r="C14">
        <v>29</v>
      </c>
      <c r="D14">
        <v>28.26</v>
      </c>
      <c r="E14" s="1">
        <v>68598217</v>
      </c>
      <c r="F14">
        <v>22.24</v>
      </c>
    </row>
    <row r="15" spans="1:9" x14ac:dyDescent="0.2">
      <c r="A15">
        <v>2021</v>
      </c>
      <c r="B15">
        <v>8</v>
      </c>
      <c r="C15">
        <v>28</v>
      </c>
      <c r="D15">
        <v>23.3</v>
      </c>
      <c r="E15" s="1">
        <v>71261536</v>
      </c>
    </row>
    <row r="16" spans="1:9" x14ac:dyDescent="0.2">
      <c r="A16">
        <v>2021</v>
      </c>
      <c r="B16">
        <v>5</v>
      </c>
      <c r="C16">
        <v>27</v>
      </c>
      <c r="D16">
        <v>18.8</v>
      </c>
      <c r="E16" s="1">
        <v>71647138</v>
      </c>
    </row>
    <row r="17" spans="1:6" x14ac:dyDescent="0.2">
      <c r="A17">
        <v>2021</v>
      </c>
      <c r="B17">
        <v>2</v>
      </c>
      <c r="C17">
        <v>26</v>
      </c>
      <c r="D17">
        <v>17.8</v>
      </c>
      <c r="E17" s="1">
        <v>54773607</v>
      </c>
    </row>
    <row r="18" spans="1:6" x14ac:dyDescent="0.2">
      <c r="A18">
        <v>2020</v>
      </c>
      <c r="B18">
        <v>11</v>
      </c>
      <c r="C18">
        <v>25</v>
      </c>
      <c r="D18">
        <v>16.93</v>
      </c>
      <c r="E18" s="1">
        <v>56366432</v>
      </c>
      <c r="F18">
        <v>17.12</v>
      </c>
    </row>
    <row r="19" spans="1:6" x14ac:dyDescent="0.2">
      <c r="A19">
        <v>2020</v>
      </c>
      <c r="B19">
        <v>8</v>
      </c>
      <c r="C19">
        <v>24</v>
      </c>
      <c r="D19">
        <v>16.68</v>
      </c>
      <c r="E19" s="1">
        <v>52627000</v>
      </c>
    </row>
    <row r="20" spans="1:6" x14ac:dyDescent="0.2">
      <c r="A20">
        <v>2020</v>
      </c>
      <c r="B20">
        <v>5</v>
      </c>
      <c r="C20">
        <v>23</v>
      </c>
      <c r="D20">
        <v>16.68</v>
      </c>
      <c r="E20" s="1">
        <v>21161000</v>
      </c>
    </row>
    <row r="21" spans="1:6" x14ac:dyDescent="0.2">
      <c r="A21">
        <v>2020</v>
      </c>
      <c r="B21">
        <v>2</v>
      </c>
      <c r="C21">
        <v>22</v>
      </c>
      <c r="D21">
        <v>17.87</v>
      </c>
      <c r="E21" s="1">
        <v>57090077</v>
      </c>
    </row>
    <row r="22" spans="1:6" x14ac:dyDescent="0.2">
      <c r="A22">
        <v>2019</v>
      </c>
      <c r="B22">
        <v>11</v>
      </c>
      <c r="C22">
        <v>21</v>
      </c>
      <c r="D22">
        <v>17</v>
      </c>
      <c r="E22" s="1">
        <v>67435661</v>
      </c>
      <c r="F22">
        <v>16.78</v>
      </c>
    </row>
    <row r="23" spans="1:6" x14ac:dyDescent="0.2">
      <c r="A23">
        <v>2019</v>
      </c>
      <c r="B23">
        <v>8</v>
      </c>
      <c r="C23">
        <v>20</v>
      </c>
      <c r="D23">
        <v>17.16</v>
      </c>
      <c r="E23" s="1">
        <v>66289515</v>
      </c>
    </row>
    <row r="24" spans="1:6" x14ac:dyDescent="0.2">
      <c r="A24">
        <v>2019</v>
      </c>
      <c r="B24">
        <v>5</v>
      </c>
      <c r="C24">
        <v>19</v>
      </c>
      <c r="D24">
        <v>17.45</v>
      </c>
      <c r="E24" s="1">
        <v>66321122</v>
      </c>
    </row>
    <row r="25" spans="1:6" x14ac:dyDescent="0.2">
      <c r="A25">
        <v>2019</v>
      </c>
      <c r="B25">
        <v>2</v>
      </c>
      <c r="C25">
        <v>18</v>
      </c>
      <c r="D25">
        <v>15.73</v>
      </c>
      <c r="E25" s="1">
        <v>80847404</v>
      </c>
    </row>
    <row r="26" spans="1:6" x14ac:dyDescent="0.2">
      <c r="A26">
        <v>2018</v>
      </c>
      <c r="B26">
        <v>11</v>
      </c>
      <c r="C26">
        <v>17</v>
      </c>
      <c r="D26">
        <v>15.31</v>
      </c>
      <c r="E26" s="1">
        <v>78825717</v>
      </c>
      <c r="F26">
        <v>14.88</v>
      </c>
    </row>
    <row r="27" spans="1:6" x14ac:dyDescent="0.2">
      <c r="A27">
        <v>2018</v>
      </c>
      <c r="B27">
        <v>8</v>
      </c>
      <c r="C27">
        <v>16</v>
      </c>
      <c r="D27">
        <v>15.05</v>
      </c>
      <c r="E27" s="1">
        <v>79421265</v>
      </c>
    </row>
    <row r="28" spans="1:6" x14ac:dyDescent="0.2">
      <c r="A28">
        <v>2018</v>
      </c>
      <c r="B28">
        <v>5</v>
      </c>
      <c r="C28">
        <v>15</v>
      </c>
      <c r="D28">
        <v>14.65</v>
      </c>
      <c r="E28" s="1">
        <v>90587738</v>
      </c>
    </row>
    <row r="29" spans="1:6" x14ac:dyDescent="0.2">
      <c r="A29">
        <v>2018</v>
      </c>
      <c r="B29">
        <v>2</v>
      </c>
      <c r="C29">
        <v>14</v>
      </c>
      <c r="D29">
        <v>14.61</v>
      </c>
      <c r="E29" s="1">
        <v>98215920</v>
      </c>
    </row>
    <row r="30" spans="1:6" x14ac:dyDescent="0.2">
      <c r="A30">
        <v>2017</v>
      </c>
      <c r="B30">
        <v>11</v>
      </c>
      <c r="C30">
        <v>13</v>
      </c>
      <c r="D30">
        <v>15.06</v>
      </c>
      <c r="E30" s="1">
        <v>79548286</v>
      </c>
      <c r="F30">
        <v>14.49</v>
      </c>
    </row>
    <row r="31" spans="1:6" x14ac:dyDescent="0.2">
      <c r="A31">
        <v>2017</v>
      </c>
      <c r="B31">
        <v>8</v>
      </c>
      <c r="C31">
        <v>12</v>
      </c>
      <c r="D31">
        <v>14.75</v>
      </c>
      <c r="E31" s="1">
        <v>63887833</v>
      </c>
    </row>
    <row r="32" spans="1:6" x14ac:dyDescent="0.2">
      <c r="A32">
        <v>2017</v>
      </c>
      <c r="B32">
        <v>5</v>
      </c>
      <c r="C32">
        <v>11</v>
      </c>
      <c r="D32">
        <v>13.8</v>
      </c>
      <c r="E32" s="1">
        <v>75311960</v>
      </c>
    </row>
    <row r="33" spans="1:6" x14ac:dyDescent="0.2">
      <c r="A33">
        <v>2017</v>
      </c>
      <c r="B33">
        <v>2</v>
      </c>
      <c r="C33">
        <v>10</v>
      </c>
      <c r="D33">
        <v>13.57</v>
      </c>
      <c r="E33" s="1">
        <v>11673000</v>
      </c>
    </row>
    <row r="34" spans="1:6" x14ac:dyDescent="0.2">
      <c r="A34">
        <v>2016</v>
      </c>
      <c r="B34">
        <v>11</v>
      </c>
      <c r="C34">
        <v>9</v>
      </c>
      <c r="D34">
        <v>12.73</v>
      </c>
      <c r="E34" s="1">
        <v>76960000</v>
      </c>
      <c r="F34">
        <v>12.73</v>
      </c>
    </row>
    <row r="35" spans="1:6" x14ac:dyDescent="0.2">
      <c r="A35">
        <v>2016</v>
      </c>
      <c r="B35">
        <v>8</v>
      </c>
      <c r="C35">
        <v>8</v>
      </c>
      <c r="D35">
        <v>12.73</v>
      </c>
      <c r="E35" s="1">
        <v>30021000</v>
      </c>
    </row>
    <row r="36" spans="1:6" x14ac:dyDescent="0.2">
      <c r="A36">
        <v>2016</v>
      </c>
      <c r="B36">
        <v>5</v>
      </c>
      <c r="C36">
        <v>7</v>
      </c>
      <c r="D36">
        <v>12.73</v>
      </c>
      <c r="E36" s="1">
        <v>7260000</v>
      </c>
    </row>
    <row r="37" spans="1:6" x14ac:dyDescent="0.2">
      <c r="A37">
        <v>2016</v>
      </c>
      <c r="B37">
        <v>2</v>
      </c>
      <c r="C37">
        <v>6</v>
      </c>
      <c r="D37">
        <v>12.73</v>
      </c>
      <c r="E37" s="1">
        <v>68026000</v>
      </c>
    </row>
    <row r="38" spans="1:6" x14ac:dyDescent="0.2">
      <c r="A38">
        <v>2015</v>
      </c>
      <c r="B38">
        <v>11</v>
      </c>
      <c r="C38">
        <v>5</v>
      </c>
      <c r="D38">
        <v>12.73</v>
      </c>
      <c r="E38" s="1">
        <v>75113008</v>
      </c>
      <c r="F38">
        <v>12.44</v>
      </c>
    </row>
    <row r="39" spans="1:6" x14ac:dyDescent="0.2">
      <c r="A39">
        <v>2015</v>
      </c>
      <c r="B39">
        <v>8</v>
      </c>
      <c r="C39">
        <v>4</v>
      </c>
      <c r="D39">
        <v>12.52</v>
      </c>
      <c r="E39" s="1">
        <v>73429360</v>
      </c>
    </row>
    <row r="40" spans="1:6" x14ac:dyDescent="0.2">
      <c r="A40">
        <v>2015</v>
      </c>
      <c r="B40">
        <v>5</v>
      </c>
      <c r="C40">
        <v>3</v>
      </c>
      <c r="D40">
        <v>12.29</v>
      </c>
      <c r="E40" s="1">
        <v>76931627</v>
      </c>
    </row>
    <row r="41" spans="1:6" x14ac:dyDescent="0.2">
      <c r="A41">
        <v>2015</v>
      </c>
      <c r="B41">
        <v>2</v>
      </c>
      <c r="C41">
        <v>2</v>
      </c>
      <c r="D41">
        <v>12.21</v>
      </c>
      <c r="E41" s="1">
        <v>73610528</v>
      </c>
    </row>
    <row r="42" spans="1:6" x14ac:dyDescent="0.2">
      <c r="A42">
        <v>2014</v>
      </c>
      <c r="B42">
        <v>11</v>
      </c>
      <c r="C42">
        <v>1</v>
      </c>
      <c r="D42">
        <v>12.1</v>
      </c>
      <c r="E42" s="1">
        <v>23070987</v>
      </c>
      <c r="F42">
        <v>11.66</v>
      </c>
    </row>
    <row r="43" spans="1:6" x14ac:dyDescent="0.2">
      <c r="A43">
        <v>2014</v>
      </c>
      <c r="B43">
        <v>8</v>
      </c>
      <c r="C43">
        <v>8</v>
      </c>
      <c r="D43">
        <v>11.5</v>
      </c>
      <c r="E43" s="1">
        <v>22473043</v>
      </c>
    </row>
    <row r="44" spans="1:6" x14ac:dyDescent="0.2">
      <c r="A44">
        <v>2014</v>
      </c>
      <c r="B44">
        <v>5</v>
      </c>
      <c r="C44">
        <v>7</v>
      </c>
      <c r="D44">
        <v>11.5</v>
      </c>
      <c r="E44" s="1">
        <v>16947080</v>
      </c>
    </row>
    <row r="45" spans="1:6" x14ac:dyDescent="0.2">
      <c r="A45">
        <v>2014</v>
      </c>
      <c r="B45">
        <v>2</v>
      </c>
      <c r="C45">
        <v>6</v>
      </c>
      <c r="D45">
        <v>11.48</v>
      </c>
      <c r="E45" s="1">
        <v>19538695</v>
      </c>
    </row>
    <row r="46" spans="1:6" x14ac:dyDescent="0.2">
      <c r="A46">
        <v>2013</v>
      </c>
      <c r="B46">
        <v>11</v>
      </c>
      <c r="C46">
        <v>5</v>
      </c>
      <c r="D46">
        <v>11.48</v>
      </c>
      <c r="E46" s="1">
        <v>16614526</v>
      </c>
      <c r="F46">
        <v>12.77</v>
      </c>
    </row>
    <row r="47" spans="1:6" x14ac:dyDescent="0.2">
      <c r="A47">
        <v>2013</v>
      </c>
      <c r="B47">
        <v>8</v>
      </c>
      <c r="C47">
        <v>4</v>
      </c>
      <c r="D47">
        <v>12.22</v>
      </c>
      <c r="E47" s="1">
        <v>13865422</v>
      </c>
    </row>
    <row r="48" spans="1:6" x14ac:dyDescent="0.2">
      <c r="A48">
        <v>2013</v>
      </c>
      <c r="B48">
        <v>5</v>
      </c>
      <c r="C48">
        <v>3</v>
      </c>
      <c r="D48">
        <v>14</v>
      </c>
      <c r="E48" s="1">
        <v>14522048</v>
      </c>
    </row>
    <row r="49" spans="1:5" x14ac:dyDescent="0.2">
      <c r="A49">
        <v>2013</v>
      </c>
      <c r="B49">
        <v>2</v>
      </c>
      <c r="C49">
        <v>2</v>
      </c>
      <c r="D49">
        <v>13.62</v>
      </c>
      <c r="E49" s="1">
        <v>12924822</v>
      </c>
    </row>
    <row r="50" spans="1:5" x14ac:dyDescent="0.2">
      <c r="A50">
        <v>2012</v>
      </c>
      <c r="B50">
        <v>11</v>
      </c>
      <c r="C5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usa_ca_ets_price_calculation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Dolphin</dc:creator>
  <cp:lastModifiedBy>Geoffroy Dolphin</cp:lastModifiedBy>
  <dcterms:created xsi:type="dcterms:W3CDTF">2025-04-15T08:13:05Z</dcterms:created>
  <dcterms:modified xsi:type="dcterms:W3CDTF">2025-04-15T08:16:36Z</dcterms:modified>
</cp:coreProperties>
</file>