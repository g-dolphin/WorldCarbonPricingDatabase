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che/che_ets/"/>
    </mc:Choice>
  </mc:AlternateContent>
  <xr:revisionPtr revIDLastSave="22" documentId="11_1A59CDA4F5A2937C54DE363AFFDA9D127EF87881" xr6:coauthVersionLast="47" xr6:coauthVersionMax="47" xr10:uidLastSave="{D41188BB-9B02-4440-8811-4D068401AAC7}"/>
  <bookViews>
    <workbookView xWindow="80" yWindow="600" windowWidth="28800" windowHeight="17500" xr2:uid="{00000000-000D-0000-FFFF-FFFF00000000}"/>
  </bookViews>
  <sheets>
    <sheet name="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1" l="1"/>
  <c r="M5" i="1"/>
  <c r="M8" i="1"/>
</calcChain>
</file>

<file path=xl/sharedStrings.xml><?xml version="1.0" encoding="utf-8"?>
<sst xmlns="http://schemas.openxmlformats.org/spreadsheetml/2006/main" count="407" uniqueCount="193">
  <si>
    <t>Auction name</t>
  </si>
  <si>
    <t>Start date</t>
  </si>
  <si>
    <t>End date</t>
  </si>
  <si>
    <t>Unit type</t>
  </si>
  <si>
    <t>Auction quantity</t>
  </si>
  <si>
    <t>Minimum bid quantity</t>
  </si>
  <si>
    <t>Maximum bid quantity</t>
  </si>
  <si>
    <t>Clearing price</t>
  </si>
  <si>
    <t>Quantity awarded</t>
  </si>
  <si>
    <t>Total value</t>
  </si>
  <si>
    <t>Procedure</t>
  </si>
  <si>
    <t>Status</t>
  </si>
  <si>
    <t>2024_03_C</t>
  </si>
  <si>
    <t>14/10/2024 12:00</t>
  </si>
  <si>
    <t>16/10/2024 17:00</t>
  </si>
  <si>
    <t>0-7-CHUA</t>
  </si>
  <si>
    <t>433,500</t>
  </si>
  <si>
    <t>26,018,670.00</t>
  </si>
  <si>
    <t>COMPETITIVE</t>
  </si>
  <si>
    <t>DELIVERED</t>
  </si>
  <si>
    <t>2024_02_C</t>
  </si>
  <si>
    <t>09/09/2024 12:00</t>
  </si>
  <si>
    <t>11/09/2024 17:00</t>
  </si>
  <si>
    <t>0-9-CHU</t>
  </si>
  <si>
    <t>200,000</t>
  </si>
  <si>
    <t>12,821,935.89</t>
  </si>
  <si>
    <t>2024_01_C</t>
  </si>
  <si>
    <t>04/03/2024 12:00</t>
  </si>
  <si>
    <t>06/03/2024 17:00</t>
  </si>
  <si>
    <t>151,650</t>
  </si>
  <si>
    <t>8,416,575.00</t>
  </si>
  <si>
    <t>2023_03_C</t>
  </si>
  <si>
    <t>13/11/2023 12:00</t>
  </si>
  <si>
    <t>15/11/2023 17:00</t>
  </si>
  <si>
    <t>140,000</t>
  </si>
  <si>
    <t>10,879,400.00</t>
  </si>
  <si>
    <t>2023_02_C</t>
  </si>
  <si>
    <t>11/09/2023 12:00</t>
  </si>
  <si>
    <t>13/09/2023 17:00</t>
  </si>
  <si>
    <t>183,550</t>
  </si>
  <si>
    <t>14,735,394.00</t>
  </si>
  <si>
    <t>2023_01_C</t>
  </si>
  <si>
    <t>20/03/2023 12:00</t>
  </si>
  <si>
    <t>22/03/2023 17:00</t>
  </si>
  <si>
    <t>119,450</t>
  </si>
  <si>
    <t>10,303,757.00</t>
  </si>
  <si>
    <t>2022_04_C</t>
  </si>
  <si>
    <t>28/11/2022 12:00</t>
  </si>
  <si>
    <t>30/11/2022 17:00</t>
  </si>
  <si>
    <t>110,000</t>
  </si>
  <si>
    <t>2022_03_C</t>
  </si>
  <si>
    <t>24/10/2022 12:00</t>
  </si>
  <si>
    <t>26/10/2022 17:00</t>
  </si>
  <si>
    <t>157,300</t>
  </si>
  <si>
    <t>2022_02_C</t>
  </si>
  <si>
    <t>05/09/2022 12:00</t>
  </si>
  <si>
    <t>07/09/2022 17:00</t>
  </si>
  <si>
    <t/>
  </si>
  <si>
    <t>CANCELLED</t>
  </si>
  <si>
    <t>2022_01_C</t>
  </si>
  <si>
    <t>13/06/2022 12:00</t>
  </si>
  <si>
    <t>15/06/2022 17:00</t>
  </si>
  <si>
    <t>302,700</t>
  </si>
  <si>
    <t>2021_02_C</t>
  </si>
  <si>
    <t>25/10/2021 12:00</t>
  </si>
  <si>
    <t>27/10/2021 17:00</t>
  </si>
  <si>
    <t>160,850</t>
  </si>
  <si>
    <t>9,337,342.50</t>
  </si>
  <si>
    <t>2021_01_C</t>
  </si>
  <si>
    <t>08/03/2021 12:00</t>
  </si>
  <si>
    <t>10/03/2021 17:00</t>
  </si>
  <si>
    <t>175,000</t>
  </si>
  <si>
    <t>6,868,750.00</t>
  </si>
  <si>
    <t>2020_04_C</t>
  </si>
  <si>
    <t>07/12/2020 12:00</t>
  </si>
  <si>
    <t>09/12/2020 17:00</t>
  </si>
  <si>
    <t>196,500</t>
  </si>
  <si>
    <t>5,207,250.00</t>
  </si>
  <si>
    <t>2020_03_C</t>
  </si>
  <si>
    <t>02/11/2020 12:00</t>
  </si>
  <si>
    <t>04/11/2020 17:00</t>
  </si>
  <si>
    <t>90,000</t>
  </si>
  <si>
    <t>2,097,900.00</t>
  </si>
  <si>
    <t>2020_02_C</t>
  </si>
  <si>
    <t>08/06/2020 12:00</t>
  </si>
  <si>
    <t>10/06/2020 17:00</t>
  </si>
  <si>
    <t>2020_01_C</t>
  </si>
  <si>
    <t>09/03/2020 12:00</t>
  </si>
  <si>
    <t>11/03/2020 17:00</t>
  </si>
  <si>
    <t>350,000</t>
  </si>
  <si>
    <t>2019_02_C</t>
  </si>
  <si>
    <t>05/11/2019 12:00</t>
  </si>
  <si>
    <t>12/11/2019 12:00</t>
  </si>
  <si>
    <t>333,000</t>
  </si>
  <si>
    <t>6,043,950.00</t>
  </si>
  <si>
    <t>2019_02_NC</t>
  </si>
  <si>
    <t>37,000</t>
  </si>
  <si>
    <t>6,282</t>
  </si>
  <si>
    <t>114,018.30</t>
  </si>
  <si>
    <t>NON COMPETITIVE</t>
  </si>
  <si>
    <t>2019_01_C</t>
  </si>
  <si>
    <t>19/03/2019 12:00</t>
  </si>
  <si>
    <t>26/03/2019 12:00</t>
  </si>
  <si>
    <t>332,999</t>
  </si>
  <si>
    <t>2,380,942.85</t>
  </si>
  <si>
    <t>2019_01_NC</t>
  </si>
  <si>
    <t>2,792</t>
  </si>
  <si>
    <t>19,962.80</t>
  </si>
  <si>
    <t>2018_02_C</t>
  </si>
  <si>
    <t>30/10/2018 12:00</t>
  </si>
  <si>
    <t>06/11/2018 12:00</t>
  </si>
  <si>
    <t>1,714,950.00</t>
  </si>
  <si>
    <t>2018_02_NC</t>
  </si>
  <si>
    <t>3,490</t>
  </si>
  <si>
    <t>17,973.50</t>
  </si>
  <si>
    <t>2018_01_C</t>
  </si>
  <si>
    <t>06/03/2018 12:00</t>
  </si>
  <si>
    <t>13/03/2018 12:00</t>
  </si>
  <si>
    <t>2,664,000.00</t>
  </si>
  <si>
    <t>2018_01_NC</t>
  </si>
  <si>
    <t>2,055</t>
  </si>
  <si>
    <t>16,440.00</t>
  </si>
  <si>
    <t>2017_02_C</t>
  </si>
  <si>
    <t>31/10/2017 12:00</t>
  </si>
  <si>
    <t>07/11/2017 12:00</t>
  </si>
  <si>
    <t>387,000</t>
  </si>
  <si>
    <t>386,999</t>
  </si>
  <si>
    <t>2,902,492.50</t>
  </si>
  <si>
    <t>2017_02_NC</t>
  </si>
  <si>
    <t>43,000</t>
  </si>
  <si>
    <t>3,980</t>
  </si>
  <si>
    <t>29,850.00</t>
  </si>
  <si>
    <t>2017_01_C</t>
  </si>
  <si>
    <t>14/03/2017 12:00</t>
  </si>
  <si>
    <t>21/03/2017 12:00</t>
  </si>
  <si>
    <t>270,000</t>
  </si>
  <si>
    <t>269,997</t>
  </si>
  <si>
    <t>1,754,980.50</t>
  </si>
  <si>
    <t>2017_01_NC</t>
  </si>
  <si>
    <t>30,000</t>
  </si>
  <si>
    <t>2,140</t>
  </si>
  <si>
    <t>13,910.00</t>
  </si>
  <si>
    <t>2016_02_C</t>
  </si>
  <si>
    <t>01/11/2016 12:00</t>
  </si>
  <si>
    <t>08/11/2016 12:00</t>
  </si>
  <si>
    <t>2,767,050.00</t>
  </si>
  <si>
    <t>2016_02_NC</t>
  </si>
  <si>
    <t>3,068</t>
  </si>
  <si>
    <t>21,936.20</t>
  </si>
  <si>
    <t>2016_01_C</t>
  </si>
  <si>
    <t>01/03/2016 12:00</t>
  </si>
  <si>
    <t>08/03/2016 12:00</t>
  </si>
  <si>
    <t>135,000</t>
  </si>
  <si>
    <t>134,997</t>
  </si>
  <si>
    <t>1,214,973.00</t>
  </si>
  <si>
    <t>2016_01_NC</t>
  </si>
  <si>
    <t>15,000</t>
  </si>
  <si>
    <t>7,344.00</t>
  </si>
  <si>
    <t>2015_03_C</t>
  </si>
  <si>
    <t>03/11/2015 12:00</t>
  </si>
  <si>
    <t>10/11/2015 12:00</t>
  </si>
  <si>
    <t>134,999</t>
  </si>
  <si>
    <t>1,491,738.95</t>
  </si>
  <si>
    <t>2015_03_NC</t>
  </si>
  <si>
    <t>6,011.20</t>
  </si>
  <si>
    <t>2015_02_C</t>
  </si>
  <si>
    <t>24/02/2015 12:00</t>
  </si>
  <si>
    <t>03/03/2015 12:00</t>
  </si>
  <si>
    <t>1,619,964.00</t>
  </si>
  <si>
    <t>2015_02_NC</t>
  </si>
  <si>
    <t>9,792.00</t>
  </si>
  <si>
    <t>2015_01_C</t>
  </si>
  <si>
    <t>13/01/2015 12:00</t>
  </si>
  <si>
    <t>20/01/2015 12:00</t>
  </si>
  <si>
    <t>134,996</t>
  </si>
  <si>
    <t>1,619,952.00</t>
  </si>
  <si>
    <t>2015_01_NC</t>
  </si>
  <si>
    <t>1,360</t>
  </si>
  <si>
    <t>16,320.00</t>
  </si>
  <si>
    <t>2014_02_C</t>
  </si>
  <si>
    <t>05/11/2014 12:00</t>
  </si>
  <si>
    <t>12/11/2014 12:00</t>
  </si>
  <si>
    <t>2,699,980.00</t>
  </si>
  <si>
    <t>2014_02_NC</t>
  </si>
  <si>
    <t>1,905</t>
  </si>
  <si>
    <t>38,100.00</t>
  </si>
  <si>
    <t>2014_01_C</t>
  </si>
  <si>
    <t>14/05/2014 12:00</t>
  </si>
  <si>
    <t>21/05/2014 12:00</t>
  </si>
  <si>
    <t>5,433,750.00</t>
  </si>
  <si>
    <t>2014_01_NC</t>
  </si>
  <si>
    <t>3,536</t>
  </si>
  <si>
    <t>142,324.00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</si>
</sst>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>
        <bgColor indexed="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M2" sqref="M2"/>
    </sheetView>
  </sheetViews>
  <sheetFormatPr baseColWidth="10" defaultColWidth="8.83203125" defaultRowHeight="15" x14ac:dyDescent="0.2"/>
  <cols>
    <col min="10" max="10" width="12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50</v>
      </c>
      <c r="G2" t="s">
        <v>16</v>
      </c>
      <c r="H2">
        <v>60.020000457763672</v>
      </c>
      <c r="I2">
        <v>433500</v>
      </c>
      <c r="J2" t="s">
        <v>17</v>
      </c>
      <c r="K2" t="s">
        <v>18</v>
      </c>
      <c r="L2" t="s">
        <v>19</v>
      </c>
      <c r="M2">
        <f>SUMPRODUCT(H2:H4,I2:I4)/SUM(I2:I4)</f>
        <v>60.188806469231004</v>
      </c>
    </row>
    <row r="3" spans="1:13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50</v>
      </c>
      <c r="G3" t="s">
        <v>24</v>
      </c>
      <c r="H3">
        <v>64.110000610351562</v>
      </c>
      <c r="I3">
        <v>199999</v>
      </c>
      <c r="J3" t="s">
        <v>25</v>
      </c>
      <c r="K3" t="s">
        <v>18</v>
      </c>
      <c r="L3" t="s">
        <v>19</v>
      </c>
    </row>
    <row r="4" spans="1:13" x14ac:dyDescent="0.2">
      <c r="A4" t="s">
        <v>26</v>
      </c>
      <c r="B4" t="s">
        <v>27</v>
      </c>
      <c r="C4" t="s">
        <v>28</v>
      </c>
      <c r="D4" t="s">
        <v>23</v>
      </c>
      <c r="E4" t="s">
        <v>29</v>
      </c>
      <c r="F4">
        <v>50</v>
      </c>
      <c r="G4" t="s">
        <v>29</v>
      </c>
      <c r="H4">
        <v>55.5</v>
      </c>
      <c r="I4">
        <v>151650</v>
      </c>
      <c r="J4" t="s">
        <v>30</v>
      </c>
      <c r="K4" t="s">
        <v>18</v>
      </c>
      <c r="L4" t="s">
        <v>19</v>
      </c>
    </row>
    <row r="5" spans="1:13" x14ac:dyDescent="0.2">
      <c r="A5" t="s">
        <v>31</v>
      </c>
      <c r="B5" t="s">
        <v>32</v>
      </c>
      <c r="C5" t="s">
        <v>33</v>
      </c>
      <c r="D5" t="s">
        <v>23</v>
      </c>
      <c r="E5" t="s">
        <v>34</v>
      </c>
      <c r="F5">
        <v>50</v>
      </c>
      <c r="G5" t="s">
        <v>34</v>
      </c>
      <c r="H5">
        <v>77.709999084472656</v>
      </c>
      <c r="I5">
        <v>140000</v>
      </c>
      <c r="J5" t="s">
        <v>35</v>
      </c>
      <c r="K5" t="s">
        <v>18</v>
      </c>
      <c r="L5" t="s">
        <v>19</v>
      </c>
      <c r="M5">
        <f>SUMPRODUCT(H5:H7,I5:I7)/SUM(I5:I7)</f>
        <v>81.080250345234404</v>
      </c>
    </row>
    <row r="6" spans="1:13" x14ac:dyDescent="0.2">
      <c r="A6" t="s">
        <v>36</v>
      </c>
      <c r="B6" t="s">
        <v>37</v>
      </c>
      <c r="C6" t="s">
        <v>38</v>
      </c>
      <c r="D6" t="s">
        <v>15</v>
      </c>
      <c r="E6" t="s">
        <v>39</v>
      </c>
      <c r="F6">
        <v>50</v>
      </c>
      <c r="G6" t="s">
        <v>39</v>
      </c>
      <c r="H6">
        <v>80.279998779296875</v>
      </c>
      <c r="I6">
        <v>183550</v>
      </c>
      <c r="J6" t="s">
        <v>40</v>
      </c>
      <c r="K6" t="s">
        <v>18</v>
      </c>
      <c r="L6" t="s">
        <v>19</v>
      </c>
    </row>
    <row r="7" spans="1:13" x14ac:dyDescent="0.2">
      <c r="A7" t="s">
        <v>41</v>
      </c>
      <c r="B7" t="s">
        <v>42</v>
      </c>
      <c r="C7" t="s">
        <v>43</v>
      </c>
      <c r="D7" t="s">
        <v>23</v>
      </c>
      <c r="E7" t="s">
        <v>44</v>
      </c>
      <c r="F7">
        <v>50</v>
      </c>
      <c r="G7" t="s">
        <v>44</v>
      </c>
      <c r="H7">
        <v>86.260002136230469</v>
      </c>
      <c r="I7">
        <v>119450</v>
      </c>
      <c r="J7" t="s">
        <v>45</v>
      </c>
      <c r="K7" t="s">
        <v>18</v>
      </c>
      <c r="L7" t="s">
        <v>19</v>
      </c>
    </row>
    <row r="8" spans="1:13" x14ac:dyDescent="0.2">
      <c r="A8" t="s">
        <v>46</v>
      </c>
      <c r="B8" t="s">
        <v>47</v>
      </c>
      <c r="C8" t="s">
        <v>48</v>
      </c>
      <c r="D8" t="s">
        <v>23</v>
      </c>
      <c r="E8" t="s">
        <v>49</v>
      </c>
      <c r="F8">
        <v>50</v>
      </c>
      <c r="G8" t="s">
        <v>49</v>
      </c>
      <c r="H8">
        <v>80</v>
      </c>
      <c r="I8">
        <v>109998</v>
      </c>
      <c r="J8">
        <v>8799840</v>
      </c>
      <c r="K8" t="s">
        <v>18</v>
      </c>
      <c r="L8" t="s">
        <v>19</v>
      </c>
      <c r="M8">
        <f>SUMPRODUCT(H8:H11,I8:I11)/SUM(I8:I11)</f>
        <v>76.489198827613777</v>
      </c>
    </row>
    <row r="9" spans="1:13" x14ac:dyDescent="0.2">
      <c r="A9" t="s">
        <v>50</v>
      </c>
      <c r="B9" t="s">
        <v>51</v>
      </c>
      <c r="C9" t="s">
        <v>52</v>
      </c>
      <c r="D9" t="s">
        <v>15</v>
      </c>
      <c r="E9" t="s">
        <v>53</v>
      </c>
      <c r="F9">
        <v>50</v>
      </c>
      <c r="G9" t="s">
        <v>53</v>
      </c>
      <c r="H9">
        <v>69.010002136230469</v>
      </c>
      <c r="I9">
        <v>157299</v>
      </c>
      <c r="J9">
        <v>10855203.99</v>
      </c>
      <c r="K9" t="s">
        <v>18</v>
      </c>
      <c r="L9" t="s">
        <v>19</v>
      </c>
    </row>
    <row r="10" spans="1:13" x14ac:dyDescent="0.2">
      <c r="A10" t="s">
        <v>54</v>
      </c>
      <c r="B10" t="s">
        <v>55</v>
      </c>
      <c r="C10" t="s">
        <v>56</v>
      </c>
      <c r="D10" t="s">
        <v>15</v>
      </c>
      <c r="E10" t="s">
        <v>53</v>
      </c>
      <c r="F10">
        <v>50</v>
      </c>
      <c r="G10" t="s">
        <v>53</v>
      </c>
      <c r="H10" t="s">
        <v>57</v>
      </c>
      <c r="I10" t="s">
        <v>57</v>
      </c>
      <c r="J10" t="s">
        <v>57</v>
      </c>
      <c r="K10" t="s">
        <v>18</v>
      </c>
      <c r="L10" t="s">
        <v>58</v>
      </c>
    </row>
    <row r="11" spans="1:13" x14ac:dyDescent="0.2">
      <c r="A11" t="s">
        <v>59</v>
      </c>
      <c r="B11" t="s">
        <v>60</v>
      </c>
      <c r="C11" t="s">
        <v>61</v>
      </c>
      <c r="D11" t="s">
        <v>23</v>
      </c>
      <c r="E11" t="s">
        <v>62</v>
      </c>
      <c r="F11">
        <v>50</v>
      </c>
      <c r="G11" t="s">
        <v>62</v>
      </c>
      <c r="H11">
        <v>79.099998474121094</v>
      </c>
      <c r="I11">
        <v>302700</v>
      </c>
      <c r="J11">
        <v>23943570</v>
      </c>
      <c r="K11" t="s">
        <v>18</v>
      </c>
      <c r="L11" t="s">
        <v>19</v>
      </c>
    </row>
    <row r="12" spans="1:13" x14ac:dyDescent="0.2">
      <c r="A12" t="s">
        <v>63</v>
      </c>
      <c r="B12" t="s">
        <v>64</v>
      </c>
      <c r="C12" t="s">
        <v>65</v>
      </c>
      <c r="D12" t="s">
        <v>15</v>
      </c>
      <c r="E12" t="s">
        <v>66</v>
      </c>
      <c r="F12">
        <v>50</v>
      </c>
      <c r="G12" t="s">
        <v>66</v>
      </c>
      <c r="H12">
        <v>58.049999237060547</v>
      </c>
      <c r="I12" t="s">
        <v>66</v>
      </c>
      <c r="J12" t="s">
        <v>67</v>
      </c>
      <c r="K12" t="s">
        <v>18</v>
      </c>
      <c r="L12" t="s">
        <v>19</v>
      </c>
    </row>
    <row r="13" spans="1:13" x14ac:dyDescent="0.2">
      <c r="A13" t="s">
        <v>68</v>
      </c>
      <c r="B13" t="s">
        <v>69</v>
      </c>
      <c r="C13" t="s">
        <v>70</v>
      </c>
      <c r="D13" t="s">
        <v>23</v>
      </c>
      <c r="E13" t="s">
        <v>71</v>
      </c>
      <c r="F13">
        <v>50</v>
      </c>
      <c r="G13" t="s">
        <v>71</v>
      </c>
      <c r="H13">
        <v>39.25</v>
      </c>
      <c r="I13" t="s">
        <v>71</v>
      </c>
      <c r="J13" t="s">
        <v>72</v>
      </c>
      <c r="K13" t="s">
        <v>18</v>
      </c>
      <c r="L13" t="s">
        <v>19</v>
      </c>
    </row>
    <row r="14" spans="1:13" x14ac:dyDescent="0.2">
      <c r="A14" t="s">
        <v>73</v>
      </c>
      <c r="B14" t="s">
        <v>74</v>
      </c>
      <c r="C14" t="s">
        <v>75</v>
      </c>
      <c r="D14" t="s">
        <v>15</v>
      </c>
      <c r="E14" t="s">
        <v>76</v>
      </c>
      <c r="F14">
        <v>50</v>
      </c>
      <c r="G14" t="s">
        <v>76</v>
      </c>
      <c r="H14">
        <v>26.5</v>
      </c>
      <c r="I14" t="s">
        <v>76</v>
      </c>
      <c r="J14" t="s">
        <v>77</v>
      </c>
      <c r="K14" t="s">
        <v>18</v>
      </c>
      <c r="L14" t="s">
        <v>19</v>
      </c>
    </row>
    <row r="15" spans="1:13" x14ac:dyDescent="0.2">
      <c r="A15" t="s">
        <v>78</v>
      </c>
      <c r="B15" t="s">
        <v>79</v>
      </c>
      <c r="C15" t="s">
        <v>80</v>
      </c>
      <c r="D15" t="s">
        <v>23</v>
      </c>
      <c r="E15" t="s">
        <v>81</v>
      </c>
      <c r="F15">
        <v>50</v>
      </c>
      <c r="G15" t="s">
        <v>81</v>
      </c>
      <c r="H15">
        <v>23.309999465942383</v>
      </c>
      <c r="I15" t="s">
        <v>81</v>
      </c>
      <c r="J15" t="s">
        <v>82</v>
      </c>
      <c r="K15" t="s">
        <v>18</v>
      </c>
      <c r="L15" t="s">
        <v>19</v>
      </c>
    </row>
    <row r="16" spans="1:13" x14ac:dyDescent="0.2">
      <c r="A16" t="s">
        <v>83</v>
      </c>
      <c r="B16" t="s">
        <v>84</v>
      </c>
      <c r="C16" t="s">
        <v>85</v>
      </c>
      <c r="D16" t="s">
        <v>23</v>
      </c>
      <c r="E16" t="s">
        <v>71</v>
      </c>
      <c r="F16">
        <v>50</v>
      </c>
      <c r="G16" t="s">
        <v>71</v>
      </c>
      <c r="H16" t="s">
        <v>57</v>
      </c>
      <c r="I16" t="s">
        <v>57</v>
      </c>
      <c r="J16" t="s">
        <v>57</v>
      </c>
      <c r="K16" t="s">
        <v>18</v>
      </c>
      <c r="L16" t="s">
        <v>58</v>
      </c>
    </row>
    <row r="17" spans="1:12" x14ac:dyDescent="0.2">
      <c r="A17" t="s">
        <v>86</v>
      </c>
      <c r="B17" t="s">
        <v>87</v>
      </c>
      <c r="C17" t="s">
        <v>88</v>
      </c>
      <c r="D17" t="s">
        <v>23</v>
      </c>
      <c r="E17" t="s">
        <v>89</v>
      </c>
      <c r="F17">
        <v>50</v>
      </c>
      <c r="G17" t="s">
        <v>89</v>
      </c>
      <c r="H17" t="s">
        <v>57</v>
      </c>
      <c r="I17" t="s">
        <v>57</v>
      </c>
      <c r="J17" t="s">
        <v>57</v>
      </c>
      <c r="K17" t="s">
        <v>18</v>
      </c>
      <c r="L17" t="s">
        <v>58</v>
      </c>
    </row>
    <row r="18" spans="1:12" x14ac:dyDescent="0.2">
      <c r="A18" t="s">
        <v>90</v>
      </c>
      <c r="B18" t="s">
        <v>91</v>
      </c>
      <c r="C18" t="s">
        <v>92</v>
      </c>
      <c r="D18" t="s">
        <v>23</v>
      </c>
      <c r="E18" t="s">
        <v>93</v>
      </c>
      <c r="F18">
        <v>50</v>
      </c>
      <c r="G18" t="s">
        <v>93</v>
      </c>
      <c r="H18">
        <v>18.149999618530273</v>
      </c>
      <c r="I18" t="s">
        <v>93</v>
      </c>
      <c r="J18" t="s">
        <v>94</v>
      </c>
      <c r="K18" t="s">
        <v>18</v>
      </c>
      <c r="L18" t="s">
        <v>19</v>
      </c>
    </row>
    <row r="19" spans="1:12" x14ac:dyDescent="0.2">
      <c r="A19" t="s">
        <v>95</v>
      </c>
      <c r="B19" t="s">
        <v>91</v>
      </c>
      <c r="C19" t="s">
        <v>92</v>
      </c>
      <c r="D19" t="s">
        <v>23</v>
      </c>
      <c r="E19" t="s">
        <v>96</v>
      </c>
      <c r="F19">
        <v>1</v>
      </c>
      <c r="G19">
        <v>698</v>
      </c>
      <c r="H19">
        <v>18.149999618530273</v>
      </c>
      <c r="I19" t="s">
        <v>97</v>
      </c>
      <c r="J19" t="s">
        <v>98</v>
      </c>
      <c r="K19" t="s">
        <v>99</v>
      </c>
      <c r="L19" t="s">
        <v>19</v>
      </c>
    </row>
    <row r="20" spans="1:12" x14ac:dyDescent="0.2">
      <c r="A20" t="s">
        <v>100</v>
      </c>
      <c r="B20" t="s">
        <v>101</v>
      </c>
      <c r="C20" t="s">
        <v>102</v>
      </c>
      <c r="D20" t="s">
        <v>23</v>
      </c>
      <c r="E20" t="s">
        <v>93</v>
      </c>
      <c r="F20">
        <v>50</v>
      </c>
      <c r="G20" t="s">
        <v>93</v>
      </c>
      <c r="H20">
        <v>7.1500000953674316</v>
      </c>
      <c r="I20" t="s">
        <v>103</v>
      </c>
      <c r="J20" t="s">
        <v>104</v>
      </c>
      <c r="K20" t="s">
        <v>18</v>
      </c>
      <c r="L20" t="s">
        <v>19</v>
      </c>
    </row>
    <row r="21" spans="1:12" x14ac:dyDescent="0.2">
      <c r="A21" t="s">
        <v>105</v>
      </c>
      <c r="B21" t="s">
        <v>101</v>
      </c>
      <c r="C21" t="s">
        <v>102</v>
      </c>
      <c r="D21" t="s">
        <v>23</v>
      </c>
      <c r="E21" t="s">
        <v>96</v>
      </c>
      <c r="F21">
        <v>1</v>
      </c>
      <c r="G21">
        <v>698</v>
      </c>
      <c r="H21">
        <v>7.1500000953674316</v>
      </c>
      <c r="I21" t="s">
        <v>106</v>
      </c>
      <c r="J21" t="s">
        <v>107</v>
      </c>
      <c r="K21" t="s">
        <v>99</v>
      </c>
      <c r="L21" t="s">
        <v>19</v>
      </c>
    </row>
    <row r="22" spans="1:12" x14ac:dyDescent="0.2">
      <c r="A22" t="s">
        <v>108</v>
      </c>
      <c r="B22" t="s">
        <v>109</v>
      </c>
      <c r="C22" t="s">
        <v>110</v>
      </c>
      <c r="D22" t="s">
        <v>23</v>
      </c>
      <c r="E22" t="s">
        <v>93</v>
      </c>
      <c r="F22">
        <v>50</v>
      </c>
      <c r="G22" t="s">
        <v>93</v>
      </c>
      <c r="H22">
        <v>5.1500000953674316</v>
      </c>
      <c r="I22" t="s">
        <v>93</v>
      </c>
      <c r="J22" t="s">
        <v>111</v>
      </c>
      <c r="K22" t="s">
        <v>18</v>
      </c>
      <c r="L22" t="s">
        <v>19</v>
      </c>
    </row>
    <row r="23" spans="1:12" x14ac:dyDescent="0.2">
      <c r="A23" t="s">
        <v>112</v>
      </c>
      <c r="B23" t="s">
        <v>109</v>
      </c>
      <c r="C23" t="s">
        <v>110</v>
      </c>
      <c r="D23" t="s">
        <v>23</v>
      </c>
      <c r="E23" t="s">
        <v>96</v>
      </c>
      <c r="F23">
        <v>1</v>
      </c>
      <c r="G23">
        <v>698</v>
      </c>
      <c r="H23">
        <v>5.1500000953674316</v>
      </c>
      <c r="I23" t="s">
        <v>113</v>
      </c>
      <c r="J23" t="s">
        <v>114</v>
      </c>
      <c r="K23" t="s">
        <v>99</v>
      </c>
      <c r="L23" t="s">
        <v>19</v>
      </c>
    </row>
    <row r="24" spans="1:12" x14ac:dyDescent="0.2">
      <c r="A24" t="s">
        <v>115</v>
      </c>
      <c r="B24" t="s">
        <v>116</v>
      </c>
      <c r="C24" t="s">
        <v>117</v>
      </c>
      <c r="D24" t="s">
        <v>23</v>
      </c>
      <c r="E24" t="s">
        <v>93</v>
      </c>
      <c r="F24">
        <v>50</v>
      </c>
      <c r="G24" t="s">
        <v>93</v>
      </c>
      <c r="H24">
        <v>8</v>
      </c>
      <c r="I24" t="s">
        <v>93</v>
      </c>
      <c r="J24" t="s">
        <v>118</v>
      </c>
      <c r="K24" t="s">
        <v>18</v>
      </c>
      <c r="L24" t="s">
        <v>19</v>
      </c>
    </row>
    <row r="25" spans="1:12" x14ac:dyDescent="0.2">
      <c r="A25" t="s">
        <v>119</v>
      </c>
      <c r="B25" t="s">
        <v>116</v>
      </c>
      <c r="C25" t="s">
        <v>117</v>
      </c>
      <c r="D25" t="s">
        <v>23</v>
      </c>
      <c r="E25" t="s">
        <v>96</v>
      </c>
      <c r="F25">
        <v>1</v>
      </c>
      <c r="G25">
        <v>685</v>
      </c>
      <c r="H25">
        <v>8</v>
      </c>
      <c r="I25" t="s">
        <v>120</v>
      </c>
      <c r="J25" t="s">
        <v>121</v>
      </c>
      <c r="K25" t="s">
        <v>99</v>
      </c>
      <c r="L25" t="s">
        <v>19</v>
      </c>
    </row>
    <row r="26" spans="1:12" x14ac:dyDescent="0.2">
      <c r="A26" t="s">
        <v>122</v>
      </c>
      <c r="B26" t="s">
        <v>123</v>
      </c>
      <c r="C26" t="s">
        <v>124</v>
      </c>
      <c r="D26" t="s">
        <v>23</v>
      </c>
      <c r="E26" t="s">
        <v>125</v>
      </c>
      <c r="F26">
        <v>50</v>
      </c>
      <c r="G26" t="s">
        <v>125</v>
      </c>
      <c r="H26">
        <v>7.5</v>
      </c>
      <c r="I26" t="s">
        <v>126</v>
      </c>
      <c r="J26" t="s">
        <v>127</v>
      </c>
      <c r="K26" t="s">
        <v>18</v>
      </c>
      <c r="L26" t="s">
        <v>19</v>
      </c>
    </row>
    <row r="27" spans="1:12" x14ac:dyDescent="0.2">
      <c r="A27" t="s">
        <v>128</v>
      </c>
      <c r="B27" t="s">
        <v>123</v>
      </c>
      <c r="C27" t="s">
        <v>124</v>
      </c>
      <c r="D27" t="s">
        <v>23</v>
      </c>
      <c r="E27" t="s">
        <v>129</v>
      </c>
      <c r="F27">
        <v>1</v>
      </c>
      <c r="G27">
        <v>796</v>
      </c>
      <c r="H27">
        <v>7.5</v>
      </c>
      <c r="I27" t="s">
        <v>130</v>
      </c>
      <c r="J27" t="s">
        <v>131</v>
      </c>
      <c r="K27" t="s">
        <v>99</v>
      </c>
      <c r="L27" t="s">
        <v>19</v>
      </c>
    </row>
    <row r="28" spans="1:12" x14ac:dyDescent="0.2">
      <c r="A28" t="s">
        <v>132</v>
      </c>
      <c r="B28" t="s">
        <v>133</v>
      </c>
      <c r="C28" t="s">
        <v>134</v>
      </c>
      <c r="D28" t="s">
        <v>23</v>
      </c>
      <c r="E28" t="s">
        <v>135</v>
      </c>
      <c r="F28">
        <v>50</v>
      </c>
      <c r="G28" t="s">
        <v>135</v>
      </c>
      <c r="H28">
        <v>6.5</v>
      </c>
      <c r="I28" t="s">
        <v>136</v>
      </c>
      <c r="J28" t="s">
        <v>137</v>
      </c>
      <c r="K28" t="s">
        <v>18</v>
      </c>
      <c r="L28" t="s">
        <v>19</v>
      </c>
    </row>
    <row r="29" spans="1:12" x14ac:dyDescent="0.2">
      <c r="A29" t="s">
        <v>138</v>
      </c>
      <c r="B29" t="s">
        <v>133</v>
      </c>
      <c r="C29" t="s">
        <v>134</v>
      </c>
      <c r="D29" t="s">
        <v>23</v>
      </c>
      <c r="E29" t="s">
        <v>139</v>
      </c>
      <c r="F29">
        <v>1</v>
      </c>
      <c r="G29">
        <v>535</v>
      </c>
      <c r="H29">
        <v>6.5</v>
      </c>
      <c r="I29" t="s">
        <v>140</v>
      </c>
      <c r="J29" t="s">
        <v>141</v>
      </c>
      <c r="K29" t="s">
        <v>99</v>
      </c>
      <c r="L29" t="s">
        <v>19</v>
      </c>
    </row>
    <row r="30" spans="1:12" x14ac:dyDescent="0.2">
      <c r="A30" t="s">
        <v>142</v>
      </c>
      <c r="B30" t="s">
        <v>143</v>
      </c>
      <c r="C30" t="s">
        <v>144</v>
      </c>
      <c r="D30" t="s">
        <v>23</v>
      </c>
      <c r="E30" t="s">
        <v>125</v>
      </c>
      <c r="F30">
        <v>50</v>
      </c>
      <c r="G30" t="s">
        <v>125</v>
      </c>
      <c r="H30">
        <v>7.1500000953674316</v>
      </c>
      <c r="I30" t="s">
        <v>125</v>
      </c>
      <c r="J30" t="s">
        <v>145</v>
      </c>
      <c r="K30" t="s">
        <v>18</v>
      </c>
      <c r="L30" t="s">
        <v>19</v>
      </c>
    </row>
    <row r="31" spans="1:12" x14ac:dyDescent="0.2">
      <c r="A31" t="s">
        <v>146</v>
      </c>
      <c r="B31" t="s">
        <v>143</v>
      </c>
      <c r="C31" t="s">
        <v>144</v>
      </c>
      <c r="D31" t="s">
        <v>23</v>
      </c>
      <c r="E31" t="s">
        <v>129</v>
      </c>
      <c r="F31">
        <v>1</v>
      </c>
      <c r="G31">
        <v>767</v>
      </c>
      <c r="H31">
        <v>7.1500000953674316</v>
      </c>
      <c r="I31" t="s">
        <v>147</v>
      </c>
      <c r="J31" t="s">
        <v>148</v>
      </c>
      <c r="K31" t="s">
        <v>99</v>
      </c>
      <c r="L31" t="s">
        <v>19</v>
      </c>
    </row>
    <row r="32" spans="1:12" x14ac:dyDescent="0.2">
      <c r="A32" t="s">
        <v>149</v>
      </c>
      <c r="B32" t="s">
        <v>150</v>
      </c>
      <c r="C32" t="s">
        <v>151</v>
      </c>
      <c r="D32" t="s">
        <v>23</v>
      </c>
      <c r="E32" t="s">
        <v>152</v>
      </c>
      <c r="F32">
        <v>50</v>
      </c>
      <c r="G32" t="s">
        <v>152</v>
      </c>
      <c r="H32">
        <v>9</v>
      </c>
      <c r="I32" t="s">
        <v>153</v>
      </c>
      <c r="J32" t="s">
        <v>154</v>
      </c>
      <c r="K32" t="s">
        <v>18</v>
      </c>
      <c r="L32" t="s">
        <v>19</v>
      </c>
    </row>
    <row r="33" spans="1:12" x14ac:dyDescent="0.2">
      <c r="A33" t="s">
        <v>155</v>
      </c>
      <c r="B33" t="s">
        <v>150</v>
      </c>
      <c r="C33" t="s">
        <v>151</v>
      </c>
      <c r="D33" t="s">
        <v>23</v>
      </c>
      <c r="E33" t="s">
        <v>156</v>
      </c>
      <c r="F33">
        <v>1</v>
      </c>
      <c r="G33">
        <v>272</v>
      </c>
      <c r="H33">
        <v>9</v>
      </c>
      <c r="I33">
        <v>816</v>
      </c>
      <c r="J33" t="s">
        <v>157</v>
      </c>
      <c r="K33" t="s">
        <v>99</v>
      </c>
      <c r="L33" t="s">
        <v>19</v>
      </c>
    </row>
    <row r="34" spans="1:12" x14ac:dyDescent="0.2">
      <c r="A34" t="s">
        <v>158</v>
      </c>
      <c r="B34" t="s">
        <v>159</v>
      </c>
      <c r="C34" t="s">
        <v>160</v>
      </c>
      <c r="D34" t="s">
        <v>23</v>
      </c>
      <c r="E34" t="s">
        <v>152</v>
      </c>
      <c r="F34">
        <v>50</v>
      </c>
      <c r="G34" t="s">
        <v>152</v>
      </c>
      <c r="H34">
        <v>11.050000190734863</v>
      </c>
      <c r="I34" t="s">
        <v>161</v>
      </c>
      <c r="J34" t="s">
        <v>162</v>
      </c>
      <c r="K34" t="s">
        <v>18</v>
      </c>
      <c r="L34" t="s">
        <v>19</v>
      </c>
    </row>
    <row r="35" spans="1:12" x14ac:dyDescent="0.2">
      <c r="A35" t="s">
        <v>163</v>
      </c>
      <c r="B35" t="s">
        <v>159</v>
      </c>
      <c r="C35" t="s">
        <v>160</v>
      </c>
      <c r="D35" t="s">
        <v>23</v>
      </c>
      <c r="E35" t="s">
        <v>156</v>
      </c>
      <c r="F35">
        <v>1</v>
      </c>
      <c r="G35">
        <v>272</v>
      </c>
      <c r="H35">
        <v>11.050000190734863</v>
      </c>
      <c r="I35">
        <v>544</v>
      </c>
      <c r="J35" t="s">
        <v>164</v>
      </c>
      <c r="K35" t="s">
        <v>99</v>
      </c>
      <c r="L35" t="s">
        <v>19</v>
      </c>
    </row>
    <row r="36" spans="1:12" x14ac:dyDescent="0.2">
      <c r="A36" t="s">
        <v>165</v>
      </c>
      <c r="B36" t="s">
        <v>166</v>
      </c>
      <c r="C36" t="s">
        <v>167</v>
      </c>
      <c r="D36" t="s">
        <v>23</v>
      </c>
      <c r="E36" t="s">
        <v>152</v>
      </c>
      <c r="F36">
        <v>50</v>
      </c>
      <c r="G36" t="s">
        <v>152</v>
      </c>
      <c r="H36">
        <v>12</v>
      </c>
      <c r="I36" t="s">
        <v>153</v>
      </c>
      <c r="J36" t="s">
        <v>168</v>
      </c>
      <c r="K36" t="s">
        <v>18</v>
      </c>
      <c r="L36" t="s">
        <v>19</v>
      </c>
    </row>
    <row r="37" spans="1:12" x14ac:dyDescent="0.2">
      <c r="A37" t="s">
        <v>169</v>
      </c>
      <c r="B37" t="s">
        <v>166</v>
      </c>
      <c r="C37" t="s">
        <v>167</v>
      </c>
      <c r="D37" t="s">
        <v>23</v>
      </c>
      <c r="E37" t="s">
        <v>156</v>
      </c>
      <c r="F37">
        <v>1</v>
      </c>
      <c r="G37">
        <v>272</v>
      </c>
      <c r="H37">
        <v>12</v>
      </c>
      <c r="I37">
        <v>816</v>
      </c>
      <c r="J37" t="s">
        <v>170</v>
      </c>
      <c r="K37" t="s">
        <v>99</v>
      </c>
      <c r="L37" t="s">
        <v>19</v>
      </c>
    </row>
    <row r="38" spans="1:12" x14ac:dyDescent="0.2">
      <c r="A38" t="s">
        <v>171</v>
      </c>
      <c r="B38" t="s">
        <v>172</v>
      </c>
      <c r="C38" t="s">
        <v>173</v>
      </c>
      <c r="D38" t="s">
        <v>23</v>
      </c>
      <c r="E38" t="s">
        <v>152</v>
      </c>
      <c r="F38">
        <v>50</v>
      </c>
      <c r="G38" t="s">
        <v>152</v>
      </c>
      <c r="H38">
        <v>12</v>
      </c>
      <c r="I38" t="s">
        <v>174</v>
      </c>
      <c r="J38" t="s">
        <v>175</v>
      </c>
      <c r="K38" t="s">
        <v>18</v>
      </c>
      <c r="L38" t="s">
        <v>19</v>
      </c>
    </row>
    <row r="39" spans="1:12" x14ac:dyDescent="0.2">
      <c r="A39" t="s">
        <v>176</v>
      </c>
      <c r="B39" t="s">
        <v>172</v>
      </c>
      <c r="C39" t="s">
        <v>173</v>
      </c>
      <c r="D39" t="s">
        <v>23</v>
      </c>
      <c r="E39" t="s">
        <v>156</v>
      </c>
      <c r="F39">
        <v>1</v>
      </c>
      <c r="G39">
        <v>272</v>
      </c>
      <c r="H39">
        <v>12</v>
      </c>
      <c r="I39" t="s">
        <v>177</v>
      </c>
      <c r="J39" t="s">
        <v>178</v>
      </c>
      <c r="K39" t="s">
        <v>99</v>
      </c>
      <c r="L39" t="s">
        <v>19</v>
      </c>
    </row>
    <row r="40" spans="1:12" x14ac:dyDescent="0.2">
      <c r="A40" t="s">
        <v>179</v>
      </c>
      <c r="B40" t="s">
        <v>180</v>
      </c>
      <c r="C40" t="s">
        <v>181</v>
      </c>
      <c r="D40" t="s">
        <v>23</v>
      </c>
      <c r="E40" t="s">
        <v>152</v>
      </c>
      <c r="F40">
        <v>50</v>
      </c>
      <c r="G40" t="s">
        <v>152</v>
      </c>
      <c r="H40">
        <v>20</v>
      </c>
      <c r="I40" t="s">
        <v>161</v>
      </c>
      <c r="J40" t="s">
        <v>182</v>
      </c>
      <c r="K40" t="s">
        <v>18</v>
      </c>
      <c r="L40" t="s">
        <v>19</v>
      </c>
    </row>
    <row r="41" spans="1:12" x14ac:dyDescent="0.2">
      <c r="A41" t="s">
        <v>183</v>
      </c>
      <c r="B41" t="s">
        <v>180</v>
      </c>
      <c r="C41" t="s">
        <v>181</v>
      </c>
      <c r="D41" t="s">
        <v>23</v>
      </c>
      <c r="E41" t="s">
        <v>156</v>
      </c>
      <c r="F41">
        <v>1</v>
      </c>
      <c r="G41">
        <v>272</v>
      </c>
      <c r="H41">
        <v>20</v>
      </c>
      <c r="I41" t="s">
        <v>184</v>
      </c>
      <c r="J41" t="s">
        <v>185</v>
      </c>
      <c r="K41" t="s">
        <v>99</v>
      </c>
      <c r="L41" t="s">
        <v>19</v>
      </c>
    </row>
    <row r="42" spans="1:12" x14ac:dyDescent="0.2">
      <c r="A42" t="s">
        <v>186</v>
      </c>
      <c r="B42" t="s">
        <v>187</v>
      </c>
      <c r="C42" t="s">
        <v>188</v>
      </c>
      <c r="D42" t="s">
        <v>23</v>
      </c>
      <c r="E42" t="s">
        <v>152</v>
      </c>
      <c r="F42">
        <v>50</v>
      </c>
      <c r="G42" t="s">
        <v>152</v>
      </c>
      <c r="H42">
        <v>40.25</v>
      </c>
      <c r="I42" t="s">
        <v>152</v>
      </c>
      <c r="J42" t="s">
        <v>189</v>
      </c>
      <c r="K42" t="s">
        <v>18</v>
      </c>
      <c r="L42" t="s">
        <v>19</v>
      </c>
    </row>
    <row r="43" spans="1:12" x14ac:dyDescent="0.2">
      <c r="A43" t="s">
        <v>190</v>
      </c>
      <c r="B43" t="s">
        <v>187</v>
      </c>
      <c r="C43" t="s">
        <v>188</v>
      </c>
      <c r="D43" t="s">
        <v>23</v>
      </c>
      <c r="E43" t="s">
        <v>156</v>
      </c>
      <c r="F43">
        <v>1</v>
      </c>
      <c r="G43">
        <v>272</v>
      </c>
      <c r="H43">
        <v>40.25</v>
      </c>
      <c r="I43" t="s">
        <v>191</v>
      </c>
      <c r="J43" t="s">
        <v>192</v>
      </c>
      <c r="K43" t="s">
        <v>99</v>
      </c>
      <c r="L43" t="s">
        <v>19</v>
      </c>
    </row>
  </sheetData>
  <pageMargins left="0.7" right="0.7" top="1" bottom="1" header="0.3" footer="0.3"/>
  <headerFooter>
    <oddHeader>&amp;CAuctions</oddHeader>
    <oddFooter>&amp;R07.03.2025 03:30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Geoffroy Dolphin</cp:lastModifiedBy>
  <dcterms:created xsi:type="dcterms:W3CDTF">2025-03-07T14:30:26Z</dcterms:created>
  <dcterms:modified xsi:type="dcterms:W3CDTF">2025-03-07T14:36:35Z</dcterms:modified>
</cp:coreProperties>
</file>