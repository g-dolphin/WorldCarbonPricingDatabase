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can/provinces/can_bc_tax/"/>
    </mc:Choice>
  </mc:AlternateContent>
  <xr:revisionPtr revIDLastSave="33" documentId="13_ncr:40009_{99433076-8A7C-2F47-B877-940695600D2E}" xr6:coauthVersionLast="47" xr6:coauthVersionMax="47" xr10:uidLastSave="{19746DE4-BBCE-C44B-922D-F9BFC761CF54}"/>
  <bookViews>
    <workbookView xWindow="8620" yWindow="500" windowWidth="27240" windowHeight="15940" activeTab="1" xr2:uid="{00000000-000D-0000-FFFF-FFFF00000000}"/>
  </bookViews>
  <sheets>
    <sheet name="official_periods" sheetId="1" r:id="rId1"/>
    <sheet name="annual_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2" i="2" l="1"/>
  <c r="C21" i="2"/>
  <c r="D34" i="1"/>
  <c r="D35" i="1"/>
  <c r="D36" i="1"/>
  <c r="D37" i="1"/>
  <c r="D4" i="1"/>
  <c r="C6" i="2" s="1"/>
  <c r="D5" i="1"/>
  <c r="D6" i="1"/>
  <c r="C7" i="2" s="1"/>
  <c r="D7" i="1"/>
  <c r="D8" i="1"/>
  <c r="D9" i="1"/>
  <c r="D10" i="1"/>
  <c r="D11" i="1"/>
  <c r="D12" i="1"/>
  <c r="C10" i="2" s="1"/>
  <c r="D13" i="1"/>
  <c r="D14" i="1"/>
  <c r="C11" i="2" s="1"/>
  <c r="D15" i="1"/>
  <c r="D16" i="1"/>
  <c r="D17" i="1"/>
  <c r="D18" i="1"/>
  <c r="D19" i="1"/>
  <c r="D20" i="1"/>
  <c r="C14" i="2" s="1"/>
  <c r="D21" i="1"/>
  <c r="D22" i="1"/>
  <c r="C15" i="2" s="1"/>
  <c r="D23" i="1"/>
  <c r="D24" i="1"/>
  <c r="D25" i="1"/>
  <c r="D26" i="1"/>
  <c r="D27" i="1"/>
  <c r="D28" i="1"/>
  <c r="C18" i="2" s="1"/>
  <c r="D29" i="1"/>
  <c r="D30" i="1"/>
  <c r="C19" i="2" s="1"/>
  <c r="D31" i="1"/>
  <c r="D33" i="1"/>
  <c r="D32" i="1"/>
  <c r="C13" i="2" l="1"/>
  <c r="C9" i="2"/>
  <c r="C16" i="2"/>
  <c r="C8" i="2"/>
  <c r="C17" i="2"/>
  <c r="C12" i="2"/>
  <c r="C20" i="2"/>
</calcChain>
</file>

<file path=xl/sharedStrings.xml><?xml version="1.0" encoding="utf-8"?>
<sst xmlns="http://schemas.openxmlformats.org/spreadsheetml/2006/main" count="118" uniqueCount="13">
  <si>
    <t>scheme_id</t>
  </si>
  <si>
    <t>Year</t>
  </si>
  <si>
    <t>currency_code</t>
  </si>
  <si>
    <t>source</t>
  </si>
  <si>
    <t>comment</t>
  </si>
  <si>
    <t>can_bc_tax</t>
  </si>
  <si>
    <t>CO2e price</t>
  </si>
  <si>
    <t>CAD</t>
  </si>
  <si>
    <t>period_start</t>
  </si>
  <si>
    <t>period_end</t>
  </si>
  <si>
    <t>period_length</t>
  </si>
  <si>
    <t>days_in_year</t>
  </si>
  <si>
    <t>The tax rate is updated once a year at the start of the fiscal year (April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</si>
</sst>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7"/>
  <sheetViews>
    <sheetView topLeftCell="A10" workbookViewId="0">
      <selection activeCell="F36" sqref="F36"/>
    </sheetView>
  </sheetViews>
  <sheetFormatPr baseColWidth="10" defaultRowHeight="16" x14ac:dyDescent="0.2"/>
  <cols>
    <col min="4" max="4" width="14.33203125" customWidth="1"/>
  </cols>
  <sheetData>
    <row r="3" spans="1:9" x14ac:dyDescent="0.2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6</v>
      </c>
      <c r="G3" t="s">
        <v>2</v>
      </c>
      <c r="H3" t="s">
        <v>3</v>
      </c>
      <c r="I3" t="s">
        <v>4</v>
      </c>
    </row>
    <row r="4" spans="1:9" x14ac:dyDescent="0.2">
      <c r="A4" t="s">
        <v>5</v>
      </c>
      <c r="B4" s="1">
        <v>39448</v>
      </c>
      <c r="C4" s="1">
        <v>39538</v>
      </c>
      <c r="D4">
        <f t="shared" ref="D4:D13" si="0">DATEDIF(B4,C4,"d")</f>
        <v>90</v>
      </c>
      <c r="E4">
        <v>365</v>
      </c>
      <c r="F4">
        <v>0</v>
      </c>
      <c r="G4" t="s">
        <v>7</v>
      </c>
      <c r="I4" t="s">
        <v>12</v>
      </c>
    </row>
    <row r="5" spans="1:9" x14ac:dyDescent="0.2">
      <c r="A5" t="s">
        <v>5</v>
      </c>
      <c r="B5" s="1">
        <v>39539</v>
      </c>
      <c r="C5" s="1">
        <v>39813</v>
      </c>
      <c r="D5">
        <f t="shared" si="0"/>
        <v>274</v>
      </c>
      <c r="E5">
        <v>365</v>
      </c>
      <c r="F5">
        <v>10</v>
      </c>
      <c r="G5" t="s">
        <v>7</v>
      </c>
    </row>
    <row r="6" spans="1:9" x14ac:dyDescent="0.2">
      <c r="A6" t="s">
        <v>5</v>
      </c>
      <c r="B6" s="1">
        <v>39814</v>
      </c>
      <c r="C6" s="1">
        <v>39903</v>
      </c>
      <c r="D6">
        <f t="shared" si="0"/>
        <v>89</v>
      </c>
      <c r="E6">
        <v>365</v>
      </c>
      <c r="F6">
        <v>10</v>
      </c>
      <c r="G6" t="s">
        <v>7</v>
      </c>
    </row>
    <row r="7" spans="1:9" x14ac:dyDescent="0.2">
      <c r="A7" t="s">
        <v>5</v>
      </c>
      <c r="B7" s="1">
        <v>39904</v>
      </c>
      <c r="C7" s="1">
        <v>40178</v>
      </c>
      <c r="D7">
        <f t="shared" si="0"/>
        <v>274</v>
      </c>
      <c r="E7">
        <v>365</v>
      </c>
      <c r="F7">
        <v>15</v>
      </c>
      <c r="G7" t="s">
        <v>7</v>
      </c>
    </row>
    <row r="8" spans="1:9" x14ac:dyDescent="0.2">
      <c r="A8" t="s">
        <v>5</v>
      </c>
      <c r="B8" s="1">
        <v>40179</v>
      </c>
      <c r="C8" s="1">
        <v>40268</v>
      </c>
      <c r="D8">
        <f t="shared" si="0"/>
        <v>89</v>
      </c>
      <c r="E8">
        <v>365</v>
      </c>
      <c r="F8">
        <v>15</v>
      </c>
      <c r="G8" t="s">
        <v>7</v>
      </c>
    </row>
    <row r="9" spans="1:9" x14ac:dyDescent="0.2">
      <c r="A9" t="s">
        <v>5</v>
      </c>
      <c r="B9" s="1">
        <v>40269</v>
      </c>
      <c r="C9" s="1">
        <v>40543</v>
      </c>
      <c r="D9">
        <f t="shared" si="0"/>
        <v>274</v>
      </c>
      <c r="E9">
        <v>365</v>
      </c>
      <c r="F9">
        <v>20</v>
      </c>
      <c r="G9" t="s">
        <v>7</v>
      </c>
    </row>
    <row r="10" spans="1:9" x14ac:dyDescent="0.2">
      <c r="A10" t="s">
        <v>5</v>
      </c>
      <c r="B10" s="1">
        <v>40544</v>
      </c>
      <c r="C10" s="1">
        <v>40633</v>
      </c>
      <c r="D10">
        <f t="shared" si="0"/>
        <v>89</v>
      </c>
      <c r="E10">
        <v>365</v>
      </c>
      <c r="F10">
        <v>20</v>
      </c>
      <c r="G10" t="s">
        <v>7</v>
      </c>
    </row>
    <row r="11" spans="1:9" x14ac:dyDescent="0.2">
      <c r="A11" t="s">
        <v>5</v>
      </c>
      <c r="B11" s="1">
        <v>40634</v>
      </c>
      <c r="C11" s="1">
        <v>40908</v>
      </c>
      <c r="D11">
        <f t="shared" si="0"/>
        <v>274</v>
      </c>
      <c r="E11">
        <v>365</v>
      </c>
      <c r="F11">
        <v>25</v>
      </c>
      <c r="G11" t="s">
        <v>7</v>
      </c>
    </row>
    <row r="12" spans="1:9" x14ac:dyDescent="0.2">
      <c r="A12" t="s">
        <v>5</v>
      </c>
      <c r="B12" s="1">
        <v>40909</v>
      </c>
      <c r="C12" s="1">
        <v>40999</v>
      </c>
      <c r="D12">
        <f t="shared" si="0"/>
        <v>90</v>
      </c>
      <c r="E12">
        <v>365</v>
      </c>
      <c r="F12">
        <v>25</v>
      </c>
      <c r="G12" t="s">
        <v>7</v>
      </c>
    </row>
    <row r="13" spans="1:9" x14ac:dyDescent="0.2">
      <c r="A13" t="s">
        <v>5</v>
      </c>
      <c r="B13" s="1">
        <v>41000</v>
      </c>
      <c r="C13" s="1">
        <v>41274</v>
      </c>
      <c r="D13">
        <f t="shared" si="0"/>
        <v>274</v>
      </c>
      <c r="E13">
        <v>365</v>
      </c>
      <c r="F13">
        <v>30</v>
      </c>
      <c r="G13" t="s">
        <v>7</v>
      </c>
    </row>
    <row r="14" spans="1:9" x14ac:dyDescent="0.2">
      <c r="A14" t="s">
        <v>5</v>
      </c>
      <c r="B14" s="1">
        <v>41275</v>
      </c>
      <c r="C14" s="1">
        <v>41364</v>
      </c>
      <c r="D14">
        <f t="shared" ref="D14:D23" si="1">DATEDIF(B14,C14,"d")</f>
        <v>89</v>
      </c>
      <c r="E14">
        <v>365</v>
      </c>
      <c r="F14">
        <v>30</v>
      </c>
      <c r="G14" t="s">
        <v>7</v>
      </c>
    </row>
    <row r="15" spans="1:9" x14ac:dyDescent="0.2">
      <c r="A15" t="s">
        <v>5</v>
      </c>
      <c r="B15" s="1">
        <v>41365</v>
      </c>
      <c r="C15" s="1">
        <v>41639</v>
      </c>
      <c r="D15">
        <f t="shared" si="1"/>
        <v>274</v>
      </c>
      <c r="E15">
        <v>365</v>
      </c>
      <c r="F15">
        <v>30</v>
      </c>
      <c r="G15" t="s">
        <v>7</v>
      </c>
    </row>
    <row r="16" spans="1:9" x14ac:dyDescent="0.2">
      <c r="A16" t="s">
        <v>5</v>
      </c>
      <c r="B16" s="1">
        <v>41640</v>
      </c>
      <c r="C16" s="1">
        <v>41729</v>
      </c>
      <c r="D16">
        <f t="shared" si="1"/>
        <v>89</v>
      </c>
      <c r="E16">
        <v>365</v>
      </c>
      <c r="F16">
        <v>30</v>
      </c>
      <c r="G16" t="s">
        <v>7</v>
      </c>
    </row>
    <row r="17" spans="1:7" x14ac:dyDescent="0.2">
      <c r="A17" t="s">
        <v>5</v>
      </c>
      <c r="B17" s="1">
        <v>41730</v>
      </c>
      <c r="C17" s="1">
        <v>42004</v>
      </c>
      <c r="D17">
        <f t="shared" si="1"/>
        <v>274</v>
      </c>
      <c r="E17">
        <v>365</v>
      </c>
      <c r="F17">
        <v>30</v>
      </c>
      <c r="G17" t="s">
        <v>7</v>
      </c>
    </row>
    <row r="18" spans="1:7" x14ac:dyDescent="0.2">
      <c r="A18" t="s">
        <v>5</v>
      </c>
      <c r="B18" s="1">
        <v>42005</v>
      </c>
      <c r="C18" s="1">
        <v>42094</v>
      </c>
      <c r="D18">
        <f t="shared" si="1"/>
        <v>89</v>
      </c>
      <c r="E18">
        <v>365</v>
      </c>
      <c r="F18">
        <v>30</v>
      </c>
      <c r="G18" t="s">
        <v>7</v>
      </c>
    </row>
    <row r="19" spans="1:7" x14ac:dyDescent="0.2">
      <c r="A19" t="s">
        <v>5</v>
      </c>
      <c r="B19" s="1">
        <v>42095</v>
      </c>
      <c r="C19" s="1">
        <v>42369</v>
      </c>
      <c r="D19">
        <f t="shared" si="1"/>
        <v>274</v>
      </c>
      <c r="E19">
        <v>365</v>
      </c>
      <c r="F19">
        <v>30</v>
      </c>
      <c r="G19" t="s">
        <v>7</v>
      </c>
    </row>
    <row r="20" spans="1:7" x14ac:dyDescent="0.2">
      <c r="A20" t="s">
        <v>5</v>
      </c>
      <c r="B20" s="1">
        <v>42370</v>
      </c>
      <c r="C20" s="1">
        <v>42460</v>
      </c>
      <c r="D20">
        <f t="shared" si="1"/>
        <v>90</v>
      </c>
      <c r="E20">
        <v>365</v>
      </c>
      <c r="F20">
        <v>30</v>
      </c>
      <c r="G20" t="s">
        <v>7</v>
      </c>
    </row>
    <row r="21" spans="1:7" x14ac:dyDescent="0.2">
      <c r="A21" t="s">
        <v>5</v>
      </c>
      <c r="B21" s="1">
        <v>42461</v>
      </c>
      <c r="C21" s="1">
        <v>42735</v>
      </c>
      <c r="D21">
        <f t="shared" si="1"/>
        <v>274</v>
      </c>
      <c r="E21">
        <v>365</v>
      </c>
      <c r="F21">
        <v>30</v>
      </c>
      <c r="G21" t="s">
        <v>7</v>
      </c>
    </row>
    <row r="22" spans="1:7" x14ac:dyDescent="0.2">
      <c r="A22" t="s">
        <v>5</v>
      </c>
      <c r="B22" s="1">
        <v>42736</v>
      </c>
      <c r="C22" s="1">
        <v>42825</v>
      </c>
      <c r="D22">
        <f t="shared" si="1"/>
        <v>89</v>
      </c>
      <c r="E22">
        <v>365</v>
      </c>
      <c r="F22">
        <v>30</v>
      </c>
      <c r="G22" t="s">
        <v>7</v>
      </c>
    </row>
    <row r="23" spans="1:7" x14ac:dyDescent="0.2">
      <c r="A23" t="s">
        <v>5</v>
      </c>
      <c r="B23" s="1">
        <v>42826</v>
      </c>
      <c r="C23" s="1">
        <v>43100</v>
      </c>
      <c r="D23">
        <f t="shared" si="1"/>
        <v>274</v>
      </c>
      <c r="E23">
        <v>365</v>
      </c>
      <c r="F23">
        <v>30</v>
      </c>
      <c r="G23" t="s">
        <v>7</v>
      </c>
    </row>
    <row r="24" spans="1:7" x14ac:dyDescent="0.2">
      <c r="A24" t="s">
        <v>5</v>
      </c>
      <c r="B24" s="1">
        <v>43101</v>
      </c>
      <c r="C24" s="1">
        <v>43190</v>
      </c>
      <c r="D24">
        <f t="shared" ref="D24:D25" si="2">DATEDIF(B24,C24,"d")</f>
        <v>89</v>
      </c>
      <c r="E24">
        <v>365</v>
      </c>
      <c r="F24">
        <v>30</v>
      </c>
      <c r="G24" t="s">
        <v>7</v>
      </c>
    </row>
    <row r="25" spans="1:7" x14ac:dyDescent="0.2">
      <c r="A25" t="s">
        <v>5</v>
      </c>
      <c r="B25" s="1">
        <v>43191</v>
      </c>
      <c r="C25" s="1">
        <v>43465</v>
      </c>
      <c r="D25">
        <f t="shared" si="2"/>
        <v>274</v>
      </c>
      <c r="E25">
        <v>365</v>
      </c>
      <c r="F25">
        <v>35</v>
      </c>
      <c r="G25" t="s">
        <v>7</v>
      </c>
    </row>
    <row r="26" spans="1:7" x14ac:dyDescent="0.2">
      <c r="A26" t="s">
        <v>5</v>
      </c>
      <c r="B26" s="1">
        <v>43466</v>
      </c>
      <c r="C26" s="1">
        <v>43555</v>
      </c>
      <c r="D26">
        <f t="shared" ref="D26:D31" si="3">DATEDIF(B26,C26,"d")</f>
        <v>89</v>
      </c>
      <c r="E26">
        <v>365</v>
      </c>
      <c r="F26">
        <v>35</v>
      </c>
      <c r="G26" t="s">
        <v>7</v>
      </c>
    </row>
    <row r="27" spans="1:7" x14ac:dyDescent="0.2">
      <c r="A27" t="s">
        <v>5</v>
      </c>
      <c r="B27" s="1">
        <v>43556</v>
      </c>
      <c r="C27" s="1">
        <v>43830</v>
      </c>
      <c r="D27">
        <f t="shared" si="3"/>
        <v>274</v>
      </c>
      <c r="E27">
        <v>365</v>
      </c>
      <c r="F27">
        <v>40</v>
      </c>
      <c r="G27" t="s">
        <v>7</v>
      </c>
    </row>
    <row r="28" spans="1:7" x14ac:dyDescent="0.2">
      <c r="A28" t="s">
        <v>5</v>
      </c>
      <c r="B28" s="1">
        <v>43831</v>
      </c>
      <c r="C28" s="1">
        <v>43921</v>
      </c>
      <c r="D28">
        <f t="shared" si="3"/>
        <v>90</v>
      </c>
      <c r="E28">
        <v>365</v>
      </c>
      <c r="F28">
        <v>40</v>
      </c>
      <c r="G28" t="s">
        <v>7</v>
      </c>
    </row>
    <row r="29" spans="1:7" x14ac:dyDescent="0.2">
      <c r="A29" t="s">
        <v>5</v>
      </c>
      <c r="B29" s="1">
        <v>43922</v>
      </c>
      <c r="C29" s="1">
        <v>44196</v>
      </c>
      <c r="D29">
        <f t="shared" si="3"/>
        <v>274</v>
      </c>
      <c r="E29">
        <v>365</v>
      </c>
      <c r="F29">
        <v>40</v>
      </c>
      <c r="G29" t="s">
        <v>7</v>
      </c>
    </row>
    <row r="30" spans="1:7" x14ac:dyDescent="0.2">
      <c r="A30" t="s">
        <v>5</v>
      </c>
      <c r="B30" s="1">
        <v>44197</v>
      </c>
      <c r="C30" s="1">
        <v>44286</v>
      </c>
      <c r="D30">
        <f t="shared" si="3"/>
        <v>89</v>
      </c>
      <c r="E30">
        <v>365</v>
      </c>
      <c r="F30">
        <v>40</v>
      </c>
      <c r="G30" t="s">
        <v>7</v>
      </c>
    </row>
    <row r="31" spans="1:7" x14ac:dyDescent="0.2">
      <c r="A31" t="s">
        <v>5</v>
      </c>
      <c r="B31" s="1">
        <v>44287</v>
      </c>
      <c r="C31" s="1">
        <v>44561</v>
      </c>
      <c r="D31">
        <f t="shared" si="3"/>
        <v>274</v>
      </c>
      <c r="E31">
        <v>365</v>
      </c>
      <c r="F31">
        <v>45</v>
      </c>
      <c r="G31" t="s">
        <v>7</v>
      </c>
    </row>
    <row r="32" spans="1:7" x14ac:dyDescent="0.2">
      <c r="A32" t="s">
        <v>5</v>
      </c>
      <c r="B32" s="1">
        <v>44562</v>
      </c>
      <c r="C32" s="1">
        <v>44651</v>
      </c>
      <c r="D32">
        <f>DATEDIF(B32,C32,"d")</f>
        <v>89</v>
      </c>
      <c r="E32">
        <v>365</v>
      </c>
      <c r="F32">
        <v>45</v>
      </c>
      <c r="G32" t="s">
        <v>7</v>
      </c>
    </row>
    <row r="33" spans="1:7" x14ac:dyDescent="0.2">
      <c r="A33" t="s">
        <v>5</v>
      </c>
      <c r="B33" s="1">
        <v>44652</v>
      </c>
      <c r="C33" s="1">
        <v>44926</v>
      </c>
      <c r="D33">
        <f>DATEDIF(B33,C33,"d")</f>
        <v>274</v>
      </c>
      <c r="E33">
        <v>365</v>
      </c>
      <c r="F33">
        <v>50</v>
      </c>
      <c r="G33" t="s">
        <v>7</v>
      </c>
    </row>
    <row r="34" spans="1:7" x14ac:dyDescent="0.2">
      <c r="A34" t="s">
        <v>5</v>
      </c>
      <c r="B34" s="1">
        <v>44927</v>
      </c>
      <c r="C34" s="1">
        <v>45016</v>
      </c>
      <c r="D34">
        <f t="shared" ref="D34:D37" si="4">DATEDIF(B34,C34,"d")</f>
        <v>89</v>
      </c>
      <c r="E34">
        <v>365</v>
      </c>
      <c r="F34">
        <v>50</v>
      </c>
      <c r="G34" t="s">
        <v>7</v>
      </c>
    </row>
    <row r="35" spans="1:7" x14ac:dyDescent="0.2">
      <c r="A35" t="s">
        <v>5</v>
      </c>
      <c r="B35" s="1">
        <v>45017</v>
      </c>
      <c r="C35" s="1">
        <v>45291</v>
      </c>
      <c r="D35">
        <f t="shared" si="4"/>
        <v>274</v>
      </c>
      <c r="E35">
        <v>365</v>
      </c>
      <c r="F35">
        <v>65</v>
      </c>
      <c r="G35" t="s">
        <v>7</v>
      </c>
    </row>
    <row r="36" spans="1:7" x14ac:dyDescent="0.2">
      <c r="A36" t="s">
        <v>5</v>
      </c>
      <c r="B36" s="1">
        <v>45292</v>
      </c>
      <c r="C36" s="1">
        <v>45382</v>
      </c>
      <c r="D36">
        <f t="shared" si="4"/>
        <v>90</v>
      </c>
      <c r="E36">
        <v>365</v>
      </c>
      <c r="F36">
        <v>65</v>
      </c>
      <c r="G36" t="s">
        <v>7</v>
      </c>
    </row>
    <row r="37" spans="1:7" x14ac:dyDescent="0.2">
      <c r="A37" t="s">
        <v>5</v>
      </c>
      <c r="B37" s="1">
        <v>45383</v>
      </c>
      <c r="C37" s="1">
        <v>45657</v>
      </c>
      <c r="D37">
        <f t="shared" si="4"/>
        <v>274</v>
      </c>
      <c r="E37">
        <v>365</v>
      </c>
      <c r="F37">
        <v>80</v>
      </c>
      <c r="G3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2"/>
  <sheetViews>
    <sheetView tabSelected="1" workbookViewId="0">
      <selection activeCell="C22" sqref="C22"/>
    </sheetView>
  </sheetViews>
  <sheetFormatPr baseColWidth="10" defaultRowHeight="16" x14ac:dyDescent="0.2"/>
  <cols>
    <col min="3" max="3" width="12.6640625" bestFit="1" customWidth="1"/>
  </cols>
  <sheetData>
    <row r="2" spans="1:6" x14ac:dyDescent="0.2">
      <c r="C2" s="1"/>
    </row>
    <row r="5" spans="1:6" x14ac:dyDescent="0.2">
      <c r="A5" t="s">
        <v>0</v>
      </c>
      <c r="B5" t="s">
        <v>1</v>
      </c>
      <c r="C5" t="s">
        <v>6</v>
      </c>
      <c r="D5" t="s">
        <v>2</v>
      </c>
      <c r="E5" t="s">
        <v>3</v>
      </c>
      <c r="F5" t="s">
        <v>4</v>
      </c>
    </row>
    <row r="6" spans="1:6" x14ac:dyDescent="0.2">
      <c r="A6" t="s">
        <v>5</v>
      </c>
      <c r="B6">
        <v>2008</v>
      </c>
      <c r="C6" s="2">
        <f>official_periods!D4/official_periods!E4*official_periods!F4+official_periods!D5/official_periods!E5*official_periods!F5</f>
        <v>7.506849315068493</v>
      </c>
      <c r="D6" t="s">
        <v>7</v>
      </c>
    </row>
    <row r="7" spans="1:6" x14ac:dyDescent="0.2">
      <c r="A7" t="s">
        <v>5</v>
      </c>
      <c r="B7">
        <v>2009</v>
      </c>
      <c r="C7" s="2">
        <f>official_periods!D6/official_periods!E6*official_periods!F6+official_periods!D7/official_periods!E7*official_periods!F7</f>
        <v>13.698630136986301</v>
      </c>
      <c r="D7" t="s">
        <v>7</v>
      </c>
    </row>
    <row r="8" spans="1:6" x14ac:dyDescent="0.2">
      <c r="A8" t="s">
        <v>5</v>
      </c>
      <c r="B8">
        <v>2010</v>
      </c>
      <c r="C8" s="2">
        <f>official_periods!D8/official_periods!E8*official_periods!F8+official_periods!D9/official_periods!E9*official_periods!F9</f>
        <v>18.671232876712327</v>
      </c>
      <c r="D8" t="s">
        <v>7</v>
      </c>
    </row>
    <row r="9" spans="1:6" x14ac:dyDescent="0.2">
      <c r="A9" t="s">
        <v>5</v>
      </c>
      <c r="B9">
        <v>2011</v>
      </c>
      <c r="C9" s="2">
        <f>official_periods!D10/official_periods!E10*official_periods!F10+official_periods!D11/official_periods!E11*official_periods!F11</f>
        <v>23.643835616438356</v>
      </c>
      <c r="D9" t="s">
        <v>7</v>
      </c>
    </row>
    <row r="10" spans="1:6" x14ac:dyDescent="0.2">
      <c r="A10" t="s">
        <v>5</v>
      </c>
      <c r="B10">
        <v>2012</v>
      </c>
      <c r="C10" s="2">
        <f>official_periods!D12/official_periods!E12*official_periods!F12+official_periods!D13/official_periods!E13*official_periods!F13</f>
        <v>28.684931506849313</v>
      </c>
      <c r="D10" t="s">
        <v>7</v>
      </c>
    </row>
    <row r="11" spans="1:6" x14ac:dyDescent="0.2">
      <c r="A11" t="s">
        <v>5</v>
      </c>
      <c r="B11">
        <v>2013</v>
      </c>
      <c r="C11" s="2">
        <f>official_periods!D14/official_periods!E14*official_periods!F14+official_periods!D15/official_periods!E15*official_periods!F15</f>
        <v>29.835616438356162</v>
      </c>
      <c r="D11" t="s">
        <v>7</v>
      </c>
    </row>
    <row r="12" spans="1:6" x14ac:dyDescent="0.2">
      <c r="A12" t="s">
        <v>5</v>
      </c>
      <c r="B12">
        <v>2014</v>
      </c>
      <c r="C12" s="2">
        <f>official_periods!D16/official_periods!E16*official_periods!F16+official_periods!D17/official_periods!E17*official_periods!F17</f>
        <v>29.835616438356162</v>
      </c>
      <c r="D12" t="s">
        <v>7</v>
      </c>
    </row>
    <row r="13" spans="1:6" x14ac:dyDescent="0.2">
      <c r="A13" t="s">
        <v>5</v>
      </c>
      <c r="B13">
        <v>2015</v>
      </c>
      <c r="C13" s="2">
        <f>official_periods!D18/official_periods!E18*official_periods!F18+official_periods!D19/official_periods!E19*official_periods!F19</f>
        <v>29.835616438356162</v>
      </c>
      <c r="D13" t="s">
        <v>7</v>
      </c>
    </row>
    <row r="14" spans="1:6" x14ac:dyDescent="0.2">
      <c r="A14" t="s">
        <v>5</v>
      </c>
      <c r="B14">
        <v>2016</v>
      </c>
      <c r="C14" s="2">
        <f>official_periods!D20/official_periods!E20*official_periods!F20+official_periods!D21/official_periods!E21*official_periods!F21</f>
        <v>29.917808219178081</v>
      </c>
      <c r="D14" t="s">
        <v>7</v>
      </c>
    </row>
    <row r="15" spans="1:6" x14ac:dyDescent="0.2">
      <c r="A15" t="s">
        <v>5</v>
      </c>
      <c r="B15">
        <v>2017</v>
      </c>
      <c r="C15" s="2">
        <f>official_periods!D22/official_periods!E22*official_periods!F22+official_periods!D23/official_periods!E23*official_periods!F23</f>
        <v>29.835616438356162</v>
      </c>
      <c r="D15" t="s">
        <v>7</v>
      </c>
    </row>
    <row r="16" spans="1:6" x14ac:dyDescent="0.2">
      <c r="A16" t="s">
        <v>5</v>
      </c>
      <c r="B16">
        <v>2018</v>
      </c>
      <c r="C16" s="2">
        <f>official_periods!D24/official_periods!E24*official_periods!F24+official_periods!D25/official_periods!E25*official_periods!F25</f>
        <v>33.589041095890408</v>
      </c>
      <c r="D16" t="s">
        <v>7</v>
      </c>
    </row>
    <row r="17" spans="1:4" x14ac:dyDescent="0.2">
      <c r="A17" t="s">
        <v>5</v>
      </c>
      <c r="B17">
        <v>2019</v>
      </c>
      <c r="C17" s="2">
        <f>official_periods!D26/official_periods!E26*official_periods!F26+official_periods!D27/official_periods!E27*official_periods!F27</f>
        <v>38.561643835616437</v>
      </c>
      <c r="D17" t="s">
        <v>7</v>
      </c>
    </row>
    <row r="18" spans="1:4" x14ac:dyDescent="0.2">
      <c r="A18" t="s">
        <v>5</v>
      </c>
      <c r="B18">
        <v>2020</v>
      </c>
      <c r="C18" s="2">
        <f>official_periods!D28/official_periods!E28*official_periods!F28+official_periods!D29/official_periods!E29*official_periods!F29</f>
        <v>39.890410958904113</v>
      </c>
      <c r="D18" t="s">
        <v>7</v>
      </c>
    </row>
    <row r="19" spans="1:4" x14ac:dyDescent="0.2">
      <c r="A19" t="s">
        <v>5</v>
      </c>
      <c r="B19">
        <v>2021</v>
      </c>
      <c r="C19" s="2">
        <f>official_periods!D30/official_periods!E30*official_periods!F30+official_periods!D31/official_periods!E31*official_periods!F31</f>
        <v>43.534246575342465</v>
      </c>
      <c r="D19" t="s">
        <v>7</v>
      </c>
    </row>
    <row r="20" spans="1:4" x14ac:dyDescent="0.2">
      <c r="A20" t="s">
        <v>5</v>
      </c>
      <c r="B20">
        <v>2022</v>
      </c>
      <c r="C20" s="2">
        <f>official_periods!D32/official_periods!E32*official_periods!F32+official_periods!D33/official_periods!E33*official_periods!F33</f>
        <v>48.506849315068493</v>
      </c>
      <c r="D20" t="s">
        <v>7</v>
      </c>
    </row>
    <row r="21" spans="1:4" x14ac:dyDescent="0.2">
      <c r="A21" t="s">
        <v>5</v>
      </c>
      <c r="B21">
        <v>2023</v>
      </c>
      <c r="C21" s="2">
        <f>official_periods!D34/official_periods!E34*official_periods!F34+official_periods!D35/official_periods!E35*official_periods!F35</f>
        <v>60.986301369863014</v>
      </c>
      <c r="D21" t="s">
        <v>7</v>
      </c>
    </row>
    <row r="22" spans="1:4" x14ac:dyDescent="0.2">
      <c r="A22" t="s">
        <v>5</v>
      </c>
      <c r="B22">
        <v>2024</v>
      </c>
      <c r="C22" s="2">
        <f>official_periods!D36/official_periods!E36*official_periods!F36+official_periods!D37/official_periods!E37*official_periods!F37</f>
        <v>76.082191780821915</v>
      </c>
      <c r="D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official_periods</vt:lpstr>
      <vt:lpstr>annual_rates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Ulysse De Jong</cp:lastModifiedBy>
  <dcterms:created xsi:type="dcterms:W3CDTF">2023-02-18T16:43:33Z</dcterms:created>
  <dcterms:modified xsi:type="dcterms:W3CDTF">2024-11-03T14:57:23Z</dcterms:modified>
</cp:coreProperties>
</file>