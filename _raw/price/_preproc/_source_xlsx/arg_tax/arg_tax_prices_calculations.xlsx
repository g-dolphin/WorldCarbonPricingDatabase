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d/OneDrive - rff/Documents/Research/projects/ecp/wcpd_dataset/source_data/price_preproc/arg_tax/"/>
    </mc:Choice>
  </mc:AlternateContent>
  <xr:revisionPtr revIDLastSave="0" documentId="13_ncr:1_{4EC2741F-3009-E743-AE28-AFCFE3D1129F}" xr6:coauthVersionLast="47" xr6:coauthVersionMax="47" xr10:uidLastSave="{00000000-0000-0000-0000-000000000000}"/>
  <bookViews>
    <workbookView xWindow="6780" yWindow="2760" windowWidth="25940" windowHeight="12500" activeTab="3" xr2:uid="{16BF8171-3DAB-6F46-97C0-FCC1C2CC2DF3}"/>
  </bookViews>
  <sheets>
    <sheet name="econ_ministry_table" sheetId="1" r:id="rId1"/>
    <sheet name="pro_rated_temp" sheetId="3" r:id="rId2"/>
    <sheet name="annual_physical_units" sheetId="4" r:id="rId3"/>
    <sheet name="annual_tco2" sheetId="5" r:id="rId4"/>
    <sheet name="emission_factor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2" i="5"/>
  <c r="H3" i="5"/>
  <c r="H4" i="5"/>
  <c r="H5" i="5"/>
  <c r="H6" i="5"/>
  <c r="H2" i="5"/>
  <c r="I2" i="5"/>
  <c r="I3" i="5"/>
  <c r="I4" i="5"/>
  <c r="I5" i="5"/>
  <c r="I6" i="5"/>
  <c r="J3" i="5"/>
  <c r="J4" i="5"/>
  <c r="J5" i="5"/>
  <c r="J6" i="5"/>
  <c r="J2" i="5"/>
  <c r="K3" i="5"/>
  <c r="K4" i="5"/>
  <c r="K5" i="5"/>
  <c r="K6" i="5"/>
  <c r="K2" i="5"/>
  <c r="L3" i="5"/>
  <c r="L4" i="5"/>
  <c r="L5" i="5"/>
  <c r="L6" i="5"/>
  <c r="L2" i="5"/>
  <c r="L2" i="6"/>
  <c r="B2" i="6"/>
  <c r="C2" i="6"/>
  <c r="D2" i="6"/>
  <c r="E2" i="6"/>
  <c r="F2" i="6"/>
  <c r="G2" i="6"/>
  <c r="H2" i="6"/>
  <c r="I2" i="6"/>
  <c r="J2" i="6"/>
  <c r="K2" i="6"/>
  <c r="A2" i="6"/>
  <c r="M1" i="5" l="1"/>
  <c r="L1" i="5"/>
  <c r="C1" i="5"/>
  <c r="D1" i="5"/>
  <c r="E1" i="5"/>
  <c r="F1" i="5"/>
  <c r="G1" i="5"/>
  <c r="H1" i="5"/>
  <c r="I1" i="5"/>
  <c r="J1" i="5"/>
  <c r="K1" i="5"/>
  <c r="B1" i="5"/>
  <c r="C6" i="4"/>
  <c r="D6" i="4"/>
  <c r="E6" i="4"/>
  <c r="F6" i="4"/>
  <c r="G6" i="4"/>
  <c r="H6" i="4"/>
  <c r="I6" i="4"/>
  <c r="J6" i="4"/>
  <c r="K6" i="4"/>
  <c r="L6" i="4"/>
  <c r="M6" i="4"/>
  <c r="B6" i="4"/>
  <c r="C5" i="4"/>
  <c r="D5" i="4"/>
  <c r="E5" i="4"/>
  <c r="F5" i="4"/>
  <c r="G5" i="4"/>
  <c r="H5" i="4"/>
  <c r="I5" i="4"/>
  <c r="J5" i="4"/>
  <c r="K5" i="4"/>
  <c r="L5" i="4"/>
  <c r="M5" i="4"/>
  <c r="B5" i="4"/>
  <c r="C4" i="4"/>
  <c r="D4" i="4"/>
  <c r="E4" i="4"/>
  <c r="F4" i="4"/>
  <c r="G4" i="4"/>
  <c r="H4" i="4"/>
  <c r="I4" i="4"/>
  <c r="J4" i="4"/>
  <c r="K4" i="4"/>
  <c r="L4" i="4"/>
  <c r="M4" i="4"/>
  <c r="B4" i="4"/>
  <c r="C3" i="4"/>
  <c r="D3" i="4"/>
  <c r="E3" i="4"/>
  <c r="F3" i="4"/>
  <c r="G3" i="4"/>
  <c r="H3" i="4"/>
  <c r="I3" i="4"/>
  <c r="J3" i="4"/>
  <c r="K3" i="4"/>
  <c r="L3" i="4"/>
  <c r="M3" i="4"/>
  <c r="B3" i="4"/>
  <c r="C2" i="4"/>
  <c r="D2" i="4"/>
  <c r="E2" i="4"/>
  <c r="F2" i="4"/>
  <c r="G2" i="4"/>
  <c r="H2" i="4"/>
  <c r="I2" i="4"/>
  <c r="J2" i="4"/>
  <c r="B2" i="4"/>
  <c r="M1" i="4"/>
  <c r="C1" i="4"/>
  <c r="D1" i="4"/>
  <c r="E1" i="4"/>
  <c r="F1" i="4"/>
  <c r="G1" i="4"/>
  <c r="H1" i="4"/>
  <c r="I1" i="4"/>
  <c r="J1" i="4"/>
  <c r="K1" i="4"/>
  <c r="L1" i="4"/>
  <c r="B1" i="4"/>
  <c r="E3" i="3"/>
  <c r="F3" i="3"/>
  <c r="G3" i="3"/>
  <c r="H3" i="3"/>
  <c r="I3" i="3"/>
  <c r="J3" i="3"/>
  <c r="K3" i="3"/>
  <c r="L3" i="3"/>
  <c r="M3" i="3"/>
  <c r="N3" i="3"/>
  <c r="O3" i="3"/>
  <c r="P3" i="3"/>
  <c r="E4" i="3"/>
  <c r="F4" i="3"/>
  <c r="G4" i="3"/>
  <c r="H4" i="3"/>
  <c r="I4" i="3"/>
  <c r="J4" i="3"/>
  <c r="K4" i="3"/>
  <c r="L4" i="3"/>
  <c r="M4" i="3"/>
  <c r="N4" i="3"/>
  <c r="O4" i="3"/>
  <c r="P4" i="3"/>
  <c r="E5" i="3"/>
  <c r="F5" i="3"/>
  <c r="G5" i="3"/>
  <c r="H5" i="3"/>
  <c r="I5" i="3"/>
  <c r="J5" i="3"/>
  <c r="K5" i="3"/>
  <c r="L5" i="3"/>
  <c r="M5" i="3"/>
  <c r="N5" i="3"/>
  <c r="O5" i="3"/>
  <c r="P5" i="3"/>
  <c r="E6" i="3"/>
  <c r="F6" i="3"/>
  <c r="G6" i="3"/>
  <c r="H6" i="3"/>
  <c r="I6" i="3"/>
  <c r="J6" i="3"/>
  <c r="K6" i="3"/>
  <c r="L6" i="3"/>
  <c r="M6" i="3"/>
  <c r="N6" i="3"/>
  <c r="O6" i="3"/>
  <c r="P6" i="3"/>
  <c r="E7" i="3"/>
  <c r="F7" i="3"/>
  <c r="G7" i="3"/>
  <c r="H7" i="3"/>
  <c r="I7" i="3"/>
  <c r="J7" i="3"/>
  <c r="K7" i="3"/>
  <c r="L7" i="3"/>
  <c r="M7" i="3"/>
  <c r="N7" i="3"/>
  <c r="O7" i="3"/>
  <c r="P7" i="3"/>
  <c r="E8" i="3"/>
  <c r="F8" i="3"/>
  <c r="G8" i="3"/>
  <c r="H8" i="3"/>
  <c r="I8" i="3"/>
  <c r="J8" i="3"/>
  <c r="K8" i="3"/>
  <c r="L8" i="3"/>
  <c r="M8" i="3"/>
  <c r="N8" i="3"/>
  <c r="O8" i="3"/>
  <c r="P8" i="3"/>
  <c r="E9" i="3"/>
  <c r="F9" i="3"/>
  <c r="G9" i="3"/>
  <c r="H9" i="3"/>
  <c r="I9" i="3"/>
  <c r="J9" i="3"/>
  <c r="K9" i="3"/>
  <c r="L9" i="3"/>
  <c r="M9" i="3"/>
  <c r="N9" i="3"/>
  <c r="O9" i="3"/>
  <c r="P9" i="3"/>
  <c r="E10" i="3"/>
  <c r="F10" i="3"/>
  <c r="G10" i="3"/>
  <c r="H10" i="3"/>
  <c r="I10" i="3"/>
  <c r="J10" i="3"/>
  <c r="K10" i="3"/>
  <c r="L10" i="3"/>
  <c r="M10" i="3"/>
  <c r="N10" i="3"/>
  <c r="O10" i="3"/>
  <c r="P10" i="3"/>
  <c r="E11" i="3"/>
  <c r="F11" i="3"/>
  <c r="G11" i="3"/>
  <c r="H11" i="3"/>
  <c r="I11" i="3"/>
  <c r="J11" i="3"/>
  <c r="K11" i="3"/>
  <c r="L11" i="3"/>
  <c r="M11" i="3"/>
  <c r="N11" i="3"/>
  <c r="O11" i="3"/>
  <c r="P11" i="3"/>
  <c r="E12" i="3"/>
  <c r="F12" i="3"/>
  <c r="G12" i="3"/>
  <c r="H12" i="3"/>
  <c r="I12" i="3"/>
  <c r="J12" i="3"/>
  <c r="K12" i="3"/>
  <c r="L12" i="3"/>
  <c r="M12" i="3"/>
  <c r="N12" i="3"/>
  <c r="O12" i="3"/>
  <c r="P12" i="3"/>
  <c r="E13" i="3"/>
  <c r="F13" i="3"/>
  <c r="G13" i="3"/>
  <c r="H13" i="3"/>
  <c r="I13" i="3"/>
  <c r="J13" i="3"/>
  <c r="K13" i="3"/>
  <c r="L13" i="3"/>
  <c r="M13" i="3"/>
  <c r="N13" i="3"/>
  <c r="O13" i="3"/>
  <c r="P13" i="3"/>
  <c r="E14" i="3"/>
  <c r="F14" i="3"/>
  <c r="G14" i="3"/>
  <c r="H14" i="3"/>
  <c r="I14" i="3"/>
  <c r="J14" i="3"/>
  <c r="K14" i="3"/>
  <c r="L14" i="3"/>
  <c r="M14" i="3"/>
  <c r="N14" i="3"/>
  <c r="O14" i="3"/>
  <c r="P14" i="3"/>
  <c r="E15" i="3"/>
  <c r="F15" i="3"/>
  <c r="G15" i="3"/>
  <c r="H15" i="3"/>
  <c r="I15" i="3"/>
  <c r="J15" i="3"/>
  <c r="K15" i="3"/>
  <c r="L15" i="3"/>
  <c r="M15" i="3"/>
  <c r="N15" i="3"/>
  <c r="O15" i="3"/>
  <c r="P15" i="3"/>
  <c r="E16" i="3"/>
  <c r="F16" i="3"/>
  <c r="G16" i="3"/>
  <c r="H16" i="3"/>
  <c r="I16" i="3"/>
  <c r="J16" i="3"/>
  <c r="K16" i="3"/>
  <c r="L16" i="3"/>
  <c r="M16" i="3"/>
  <c r="N16" i="3"/>
  <c r="O16" i="3"/>
  <c r="P16" i="3"/>
  <c r="E17" i="3"/>
  <c r="F17" i="3"/>
  <c r="G17" i="3"/>
  <c r="H17" i="3"/>
  <c r="I17" i="3"/>
  <c r="J17" i="3"/>
  <c r="K17" i="3"/>
  <c r="L17" i="3"/>
  <c r="M17" i="3"/>
  <c r="N17" i="3"/>
  <c r="O17" i="3"/>
  <c r="P17" i="3"/>
  <c r="E18" i="3"/>
  <c r="F18" i="3"/>
  <c r="G18" i="3"/>
  <c r="H18" i="3"/>
  <c r="I18" i="3"/>
  <c r="J18" i="3"/>
  <c r="K18" i="3"/>
  <c r="L18" i="3"/>
  <c r="M18" i="3"/>
  <c r="N18" i="3"/>
  <c r="O18" i="3"/>
  <c r="P18" i="3"/>
  <c r="E19" i="3"/>
  <c r="F19" i="3"/>
  <c r="G19" i="3"/>
  <c r="H19" i="3"/>
  <c r="I19" i="3"/>
  <c r="J19" i="3"/>
  <c r="K19" i="3"/>
  <c r="L19" i="3"/>
  <c r="M19" i="3"/>
  <c r="N19" i="3"/>
  <c r="O19" i="3"/>
  <c r="P19" i="3"/>
  <c r="E20" i="3"/>
  <c r="F20" i="3"/>
  <c r="G20" i="3"/>
  <c r="H20" i="3"/>
  <c r="I20" i="3"/>
  <c r="J20" i="3"/>
  <c r="K20" i="3"/>
  <c r="L20" i="3"/>
  <c r="M20" i="3"/>
  <c r="N20" i="3"/>
  <c r="O20" i="3"/>
  <c r="P20" i="3"/>
  <c r="E21" i="3"/>
  <c r="F21" i="3"/>
  <c r="G21" i="3"/>
  <c r="H21" i="3"/>
  <c r="I21" i="3"/>
  <c r="J21" i="3"/>
  <c r="K21" i="3"/>
  <c r="L21" i="3"/>
  <c r="M21" i="3"/>
  <c r="N21" i="3"/>
  <c r="O21" i="3"/>
  <c r="P21" i="3"/>
  <c r="E22" i="3"/>
  <c r="F22" i="3"/>
  <c r="G22" i="3"/>
  <c r="H22" i="3"/>
  <c r="I22" i="3"/>
  <c r="J22" i="3"/>
  <c r="K22" i="3"/>
  <c r="L22" i="3"/>
  <c r="M22" i="3"/>
  <c r="N22" i="3"/>
  <c r="O22" i="3"/>
  <c r="P22" i="3"/>
  <c r="E23" i="3"/>
  <c r="F23" i="3"/>
  <c r="G23" i="3"/>
  <c r="H23" i="3"/>
  <c r="I23" i="3"/>
  <c r="J23" i="3"/>
  <c r="K23" i="3"/>
  <c r="L23" i="3"/>
  <c r="M23" i="3"/>
  <c r="N23" i="3"/>
  <c r="O23" i="3"/>
  <c r="P23" i="3"/>
  <c r="E24" i="3"/>
  <c r="F24" i="3"/>
  <c r="G24" i="3"/>
  <c r="H24" i="3"/>
  <c r="I24" i="3"/>
  <c r="J24" i="3"/>
  <c r="K24" i="3"/>
  <c r="L24" i="3"/>
  <c r="M24" i="3"/>
  <c r="N24" i="3"/>
  <c r="O24" i="3"/>
  <c r="P24" i="3"/>
  <c r="E25" i="3"/>
  <c r="F25" i="3"/>
  <c r="G25" i="3"/>
  <c r="H25" i="3"/>
  <c r="I25" i="3"/>
  <c r="J25" i="3"/>
  <c r="K25" i="3"/>
  <c r="L25" i="3"/>
  <c r="M25" i="3"/>
  <c r="N25" i="3"/>
  <c r="O25" i="3"/>
  <c r="P25" i="3"/>
  <c r="E26" i="3"/>
  <c r="F26" i="3"/>
  <c r="G26" i="3"/>
  <c r="H26" i="3"/>
  <c r="I26" i="3"/>
  <c r="J26" i="3"/>
  <c r="K26" i="3"/>
  <c r="L26" i="3"/>
  <c r="M26" i="3"/>
  <c r="N26" i="3"/>
  <c r="O26" i="3"/>
  <c r="P26" i="3"/>
  <c r="E27" i="3"/>
  <c r="F27" i="3"/>
  <c r="G27" i="3"/>
  <c r="H27" i="3"/>
  <c r="I27" i="3"/>
  <c r="J27" i="3"/>
  <c r="K27" i="3"/>
  <c r="L27" i="3"/>
  <c r="M27" i="3"/>
  <c r="N27" i="3"/>
  <c r="O27" i="3"/>
  <c r="P27" i="3"/>
  <c r="E28" i="3"/>
  <c r="F28" i="3"/>
  <c r="G28" i="3"/>
  <c r="H28" i="3"/>
  <c r="I28" i="3"/>
  <c r="J28" i="3"/>
  <c r="K28" i="3"/>
  <c r="L28" i="3"/>
  <c r="M28" i="3"/>
  <c r="N28" i="3"/>
  <c r="O28" i="3"/>
  <c r="P28" i="3"/>
  <c r="E29" i="3"/>
  <c r="F29" i="3"/>
  <c r="G29" i="3"/>
  <c r="H29" i="3"/>
  <c r="I29" i="3"/>
  <c r="J29" i="3"/>
  <c r="K29" i="3"/>
  <c r="L29" i="3"/>
  <c r="M29" i="3"/>
  <c r="N29" i="3"/>
  <c r="O29" i="3"/>
  <c r="P29" i="3"/>
  <c r="E30" i="3"/>
  <c r="F30" i="3"/>
  <c r="G30" i="3"/>
  <c r="H30" i="3"/>
  <c r="I30" i="3"/>
  <c r="J30" i="3"/>
  <c r="K30" i="3"/>
  <c r="L30" i="3"/>
  <c r="M30" i="3"/>
  <c r="N30" i="3"/>
  <c r="O30" i="3"/>
  <c r="P30" i="3"/>
  <c r="F2" i="3"/>
  <c r="G2" i="3"/>
  <c r="H2" i="3"/>
  <c r="I2" i="3"/>
  <c r="J2" i="3"/>
  <c r="K2" i="3"/>
  <c r="L2" i="3"/>
  <c r="M2" i="3"/>
  <c r="N2" i="3"/>
  <c r="O2" i="3"/>
  <c r="P2" i="3"/>
  <c r="M2" i="4" s="1"/>
  <c r="A3" i="3"/>
  <c r="B3" i="3"/>
  <c r="A4" i="3"/>
  <c r="B4" i="3"/>
  <c r="A5" i="3"/>
  <c r="B5" i="3"/>
  <c r="A6" i="3"/>
  <c r="B6" i="3"/>
  <c r="A7" i="3"/>
  <c r="B7" i="3"/>
  <c r="A8" i="3"/>
  <c r="B8" i="3"/>
  <c r="A9" i="3"/>
  <c r="B9" i="3"/>
  <c r="A10" i="3"/>
  <c r="B10" i="3"/>
  <c r="A11" i="3"/>
  <c r="B11" i="3"/>
  <c r="A12" i="3"/>
  <c r="B12" i="3"/>
  <c r="A13" i="3"/>
  <c r="B13" i="3"/>
  <c r="A14" i="3"/>
  <c r="B14" i="3"/>
  <c r="A15" i="3"/>
  <c r="B15" i="3"/>
  <c r="A16" i="3"/>
  <c r="B16" i="3"/>
  <c r="A17" i="3"/>
  <c r="B17" i="3"/>
  <c r="A18" i="3"/>
  <c r="B18" i="3"/>
  <c r="A19" i="3"/>
  <c r="B19" i="3"/>
  <c r="A20" i="3"/>
  <c r="B20" i="3"/>
  <c r="A21" i="3"/>
  <c r="B21" i="3"/>
  <c r="A22" i="3"/>
  <c r="B22" i="3"/>
  <c r="A23" i="3"/>
  <c r="B23" i="3"/>
  <c r="A24" i="3"/>
  <c r="B24" i="3"/>
  <c r="A25" i="3"/>
  <c r="B25" i="3"/>
  <c r="A26" i="3"/>
  <c r="B26" i="3"/>
  <c r="A27" i="3"/>
  <c r="B27" i="3"/>
  <c r="A28" i="3"/>
  <c r="B28" i="3"/>
  <c r="A29" i="3"/>
  <c r="B29" i="3"/>
  <c r="A30" i="3"/>
  <c r="B30" i="3"/>
  <c r="B2" i="3"/>
  <c r="A2" i="3"/>
  <c r="F1" i="3"/>
  <c r="G1" i="3"/>
  <c r="H1" i="3"/>
  <c r="I1" i="3"/>
  <c r="J1" i="3"/>
  <c r="K1" i="3"/>
  <c r="L1" i="3"/>
  <c r="M1" i="3"/>
  <c r="N1" i="3"/>
  <c r="O1" i="3"/>
  <c r="P1" i="3"/>
  <c r="E1" i="3"/>
  <c r="C26" i="3"/>
  <c r="L2" i="4" l="1"/>
  <c r="K2" i="4"/>
  <c r="C2" i="3"/>
  <c r="C27" i="3"/>
  <c r="C17" i="3"/>
  <c r="C28" i="3"/>
  <c r="C16" i="3"/>
  <c r="C20" i="3"/>
  <c r="C24" i="3"/>
  <c r="C10" i="3"/>
  <c r="C9" i="3"/>
  <c r="C3" i="3"/>
  <c r="C30" i="3"/>
  <c r="C18" i="3"/>
  <c r="C29" i="3"/>
  <c r="C19" i="3"/>
  <c r="C11" i="3"/>
  <c r="C22" i="3"/>
  <c r="C14" i="3"/>
  <c r="C6" i="3"/>
  <c r="C25" i="3"/>
  <c r="C21" i="3"/>
  <c r="C13" i="3"/>
  <c r="C5" i="3"/>
  <c r="C23" i="3"/>
  <c r="C15" i="3"/>
  <c r="C7" i="3"/>
  <c r="C12" i="3"/>
  <c r="C8" i="3"/>
  <c r="C4" i="3"/>
  <c r="E2" i="3" l="1"/>
</calcChain>
</file>

<file path=xl/sharedStrings.xml><?xml version="1.0" encoding="utf-8"?>
<sst xmlns="http://schemas.openxmlformats.org/spreadsheetml/2006/main" count="56" uniqueCount="19">
  <si>
    <t xml:space="preserve">Leyes No 23.966 y No 27.430 </t>
  </si>
  <si>
    <t xml:space="preserve">- </t>
  </si>
  <si>
    <t xml:space="preserve">Ley No 23.966, D.R. No 501/2018 y R.G No 4257 -AFIP- (web AFIP) </t>
  </si>
  <si>
    <t>weight</t>
  </si>
  <si>
    <t>NAFTAS SIN PLOMO, DE MAS DE 92 RON (por litro)</t>
  </si>
  <si>
    <t xml:space="preserve">COQUE DE PETROLEO (por kilogramo) </t>
  </si>
  <si>
    <t>NAFTAS VIRGEN (por litro)</t>
  </si>
  <si>
    <t>GASOLINA NATURAL O DE PIROLISIS (por litro)</t>
  </si>
  <si>
    <t>SOLVENTE (por litro)</t>
  </si>
  <si>
    <t>AGUARRAS (por litro)</t>
  </si>
  <si>
    <t>GASOIL (por litro)</t>
  </si>
  <si>
    <t>DIESEL OIL (por litro)</t>
  </si>
  <si>
    <t>KEROSENE (por litro)</t>
  </si>
  <si>
    <t>FUEL OIL (por litro)</t>
  </si>
  <si>
    <t>CARBON MINERAL (por kilogramo)</t>
  </si>
  <si>
    <t>-</t>
  </si>
  <si>
    <t xml:space="preserve">Ley No 23.966, D.R. No 501/2018 y R.G No 4257 -AFIP- (web AFIP), Ley No 27.430 art. 148 (4) </t>
  </si>
  <si>
    <t>kgCO2/tonne</t>
  </si>
  <si>
    <t>kgCO2/litre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</si>
</sst>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.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14" fontId="1" fillId="0" borderId="0" xfId="0" applyNumberFormat="1" applyFont="1" applyAlignment="1"/>
    <xf numFmtId="0" fontId="1" fillId="0" borderId="0" xfId="0" applyFont="1" applyAlignment="1"/>
    <xf numFmtId="167" fontId="1" fillId="0" borderId="0" xfId="0" applyNumberFormat="1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8BDC4-F62F-7A4F-86CB-BC05D1C19487}">
  <dimension ref="A1:O30"/>
  <sheetViews>
    <sheetView topLeftCell="A13" workbookViewId="0">
      <selection activeCell="I1" sqref="I1"/>
    </sheetView>
  </sheetViews>
  <sheetFormatPr baseColWidth="10" defaultRowHeight="16" x14ac:dyDescent="0.2"/>
  <cols>
    <col min="1" max="15" width="10.83203125" style="1"/>
  </cols>
  <sheetData>
    <row r="1" spans="1:15" x14ac:dyDescent="0.2">
      <c r="C1" s="1" t="s">
        <v>4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5</v>
      </c>
      <c r="N1" s="1" t="s">
        <v>14</v>
      </c>
    </row>
    <row r="2" spans="1:15" x14ac:dyDescent="0.2">
      <c r="A2" s="4">
        <v>43160</v>
      </c>
      <c r="B2" s="4">
        <v>43251</v>
      </c>
      <c r="C2" s="5">
        <v>0.41199999999999998</v>
      </c>
      <c r="D2" s="5">
        <v>0.41199999999999998</v>
      </c>
      <c r="E2" s="5">
        <v>0.41199999999999998</v>
      </c>
      <c r="F2" s="5">
        <v>0.41199999999999998</v>
      </c>
      <c r="G2" s="5">
        <v>0.41199999999999998</v>
      </c>
      <c r="H2" s="5">
        <v>0.41199999999999998</v>
      </c>
      <c r="I2" s="5">
        <v>0.47299999999999998</v>
      </c>
      <c r="J2" s="5">
        <v>0.47299999999999998</v>
      </c>
      <c r="K2" s="5">
        <v>0.47299999999999998</v>
      </c>
      <c r="L2" s="5" t="s">
        <v>15</v>
      </c>
      <c r="M2" s="5" t="s">
        <v>15</v>
      </c>
      <c r="N2" s="5" t="s">
        <v>15</v>
      </c>
      <c r="O2" s="5" t="s">
        <v>0</v>
      </c>
    </row>
    <row r="3" spans="1:15" x14ac:dyDescent="0.2">
      <c r="A3" s="4">
        <v>43252</v>
      </c>
      <c r="B3" s="4">
        <v>43343</v>
      </c>
      <c r="C3" s="5">
        <v>0.44</v>
      </c>
      <c r="D3" s="5">
        <v>0.44</v>
      </c>
      <c r="E3" s="5">
        <v>0.44</v>
      </c>
      <c r="F3" s="5">
        <v>0.505</v>
      </c>
      <c r="G3" s="5">
        <v>0.44</v>
      </c>
      <c r="H3" s="5">
        <v>0.44</v>
      </c>
      <c r="I3" s="5">
        <v>0.505</v>
      </c>
      <c r="J3" s="5">
        <v>0.505</v>
      </c>
      <c r="K3" s="5">
        <v>0.505</v>
      </c>
      <c r="L3" s="5" t="s">
        <v>1</v>
      </c>
      <c r="M3" s="5" t="s">
        <v>1</v>
      </c>
      <c r="N3" s="5" t="s">
        <v>1</v>
      </c>
      <c r="O3" s="5" t="s">
        <v>2</v>
      </c>
    </row>
    <row r="4" spans="1:15" x14ac:dyDescent="0.2">
      <c r="A4" s="4">
        <v>43344</v>
      </c>
      <c r="B4" s="4">
        <v>43434</v>
      </c>
      <c r="C4" s="5">
        <v>0.47799999999999998</v>
      </c>
      <c r="D4" s="5">
        <v>0.47799999999999998</v>
      </c>
      <c r="E4" s="5">
        <v>0.47799999999999998</v>
      </c>
      <c r="F4" s="5">
        <v>0.54900000000000004</v>
      </c>
      <c r="G4" s="5">
        <v>0.47799999999999998</v>
      </c>
      <c r="H4" s="5">
        <v>0.47799999999999998</v>
      </c>
      <c r="I4" s="5">
        <v>0.54900000000000004</v>
      </c>
      <c r="J4" s="5">
        <v>0.54900000000000004</v>
      </c>
      <c r="K4" s="5">
        <v>0.54900000000000004</v>
      </c>
      <c r="L4" s="5" t="s">
        <v>1</v>
      </c>
      <c r="M4" s="5" t="s">
        <v>1</v>
      </c>
      <c r="N4" s="5" t="s">
        <v>1</v>
      </c>
      <c r="O4" s="5" t="s">
        <v>2</v>
      </c>
    </row>
    <row r="5" spans="1:15" x14ac:dyDescent="0.2">
      <c r="A5" s="4">
        <v>43435</v>
      </c>
      <c r="B5" s="2">
        <v>43465</v>
      </c>
      <c r="C5" s="5">
        <v>0.54500000000000004</v>
      </c>
      <c r="D5" s="5">
        <v>0.54500000000000004</v>
      </c>
      <c r="E5" s="5">
        <v>0.54500000000000004</v>
      </c>
      <c r="F5" s="5">
        <v>0.54500000000000004</v>
      </c>
      <c r="G5" s="5">
        <v>0.54500000000000004</v>
      </c>
      <c r="H5" s="5">
        <v>0.54500000000000004</v>
      </c>
      <c r="I5" s="5">
        <v>0.626</v>
      </c>
      <c r="J5" s="5">
        <v>0.626</v>
      </c>
      <c r="K5" s="5">
        <v>0.626</v>
      </c>
      <c r="L5" s="5" t="s">
        <v>1</v>
      </c>
      <c r="M5" s="5" t="s">
        <v>1</v>
      </c>
      <c r="N5" s="5" t="s">
        <v>1</v>
      </c>
      <c r="O5" s="5" t="s">
        <v>2</v>
      </c>
    </row>
    <row r="6" spans="1:15" x14ac:dyDescent="0.2">
      <c r="A6" s="4">
        <v>43466</v>
      </c>
      <c r="B6" s="4">
        <v>43524</v>
      </c>
      <c r="C6" s="5">
        <v>0.54500000000000004</v>
      </c>
      <c r="D6" s="5">
        <v>0.54500000000000004</v>
      </c>
      <c r="E6" s="5">
        <v>0.54500000000000004</v>
      </c>
      <c r="F6" s="5">
        <v>0.54500000000000004</v>
      </c>
      <c r="G6" s="5">
        <v>0.54500000000000004</v>
      </c>
      <c r="H6" s="5">
        <v>0.54500000000000004</v>
      </c>
      <c r="I6" s="5">
        <v>0.626</v>
      </c>
      <c r="J6" s="5">
        <v>0.626</v>
      </c>
      <c r="K6" s="5">
        <v>0.626</v>
      </c>
      <c r="L6" s="5">
        <v>6.9000000000000006E-2</v>
      </c>
      <c r="M6" s="5">
        <v>7.3999999999999996E-2</v>
      </c>
      <c r="N6" s="5">
        <v>5.7000000000000002E-2</v>
      </c>
      <c r="O6" s="5" t="s">
        <v>16</v>
      </c>
    </row>
    <row r="7" spans="1:15" x14ac:dyDescent="0.2">
      <c r="A7" s="4">
        <v>43525</v>
      </c>
      <c r="B7" s="4">
        <v>43616</v>
      </c>
      <c r="C7" s="5">
        <v>0.60799999999999998</v>
      </c>
      <c r="D7" s="5">
        <v>0.60799999999999998</v>
      </c>
      <c r="E7" s="5">
        <v>0.60799999999999998</v>
      </c>
      <c r="F7" s="5">
        <v>0.60799999999999998</v>
      </c>
      <c r="G7" s="5">
        <v>0.60799999999999998</v>
      </c>
      <c r="H7" s="5">
        <v>0.60799999999999998</v>
      </c>
      <c r="I7" s="5">
        <v>0.69899999999999995</v>
      </c>
      <c r="J7" s="5">
        <v>0.69899999999999995</v>
      </c>
      <c r="K7" s="5">
        <v>0.69899999999999995</v>
      </c>
      <c r="L7" s="5">
        <v>7.6999999999999999E-2</v>
      </c>
      <c r="M7" s="5">
        <v>8.3000000000000004E-2</v>
      </c>
      <c r="N7" s="5"/>
      <c r="O7" s="5" t="s">
        <v>2</v>
      </c>
    </row>
    <row r="8" spans="1:15" x14ac:dyDescent="0.2">
      <c r="A8" s="4">
        <v>43617</v>
      </c>
      <c r="B8" s="4">
        <v>43708</v>
      </c>
      <c r="C8" s="5">
        <v>0.68</v>
      </c>
      <c r="D8" s="5">
        <v>0.68</v>
      </c>
      <c r="E8" s="5">
        <v>0.68</v>
      </c>
      <c r="F8" s="5">
        <v>0.68</v>
      </c>
      <c r="G8" s="5">
        <v>0.68</v>
      </c>
      <c r="H8" s="5">
        <v>0.68</v>
      </c>
      <c r="I8" s="5">
        <v>0.78200000000000003</v>
      </c>
      <c r="J8" s="5">
        <v>0.78200000000000003</v>
      </c>
      <c r="K8" s="5">
        <v>0.78200000000000003</v>
      </c>
      <c r="L8" s="5">
        <v>8.5999999999999993E-2</v>
      </c>
      <c r="M8" s="5">
        <v>9.2999999999999999E-2</v>
      </c>
      <c r="N8" s="5">
        <v>7.1999999999999995E-2</v>
      </c>
      <c r="O8" s="5" t="s">
        <v>2</v>
      </c>
    </row>
    <row r="9" spans="1:15" x14ac:dyDescent="0.2">
      <c r="A9" s="4">
        <v>43709</v>
      </c>
      <c r="B9" s="4">
        <v>43769</v>
      </c>
      <c r="C9" s="5">
        <v>0.68</v>
      </c>
      <c r="D9" s="5">
        <v>0.68</v>
      </c>
      <c r="E9" s="5">
        <v>0.68</v>
      </c>
      <c r="F9" s="5">
        <v>0.74399999999999999</v>
      </c>
      <c r="G9" s="5">
        <v>0.74399999999999999</v>
      </c>
      <c r="H9" s="5">
        <v>0.74399999999999999</v>
      </c>
      <c r="I9" s="5">
        <v>0.78200000000000003</v>
      </c>
      <c r="J9" s="5">
        <v>0.85599999999999998</v>
      </c>
      <c r="K9" s="5">
        <v>0.85599999999999998</v>
      </c>
      <c r="L9" s="5">
        <v>9.4E-2</v>
      </c>
      <c r="M9" s="5">
        <v>0.10199999999999999</v>
      </c>
      <c r="N9" s="5">
        <v>7.9000000000000001E-2</v>
      </c>
      <c r="O9" s="5" t="s">
        <v>2</v>
      </c>
    </row>
    <row r="10" spans="1:15" x14ac:dyDescent="0.2">
      <c r="A10" s="4">
        <v>43770</v>
      </c>
      <c r="B10" s="4">
        <v>43799</v>
      </c>
      <c r="C10" s="5">
        <v>0.74399999999999999</v>
      </c>
      <c r="D10" s="5">
        <v>0.74399999999999999</v>
      </c>
      <c r="E10" s="5">
        <v>0.74399999999999999</v>
      </c>
      <c r="F10" s="5">
        <v>0.74399999999999999</v>
      </c>
      <c r="G10" s="5">
        <v>0.74399999999999999</v>
      </c>
      <c r="H10" s="5">
        <v>0.74399999999999999</v>
      </c>
      <c r="I10" s="5">
        <v>0.85599999999999998</v>
      </c>
      <c r="J10" s="5">
        <v>0.85599999999999998</v>
      </c>
      <c r="K10" s="5">
        <v>0.85599999999999998</v>
      </c>
      <c r="L10" s="5">
        <v>9.4E-2</v>
      </c>
      <c r="M10" s="5">
        <v>0.10199999999999999</v>
      </c>
      <c r="N10" s="5">
        <v>7.9000000000000001E-2</v>
      </c>
      <c r="O10" s="5" t="s">
        <v>2</v>
      </c>
    </row>
    <row r="11" spans="1:15" x14ac:dyDescent="0.2">
      <c r="A11" s="4">
        <v>43800</v>
      </c>
      <c r="B11" s="4">
        <v>43830</v>
      </c>
      <c r="C11" s="5">
        <v>0.83699999999999997</v>
      </c>
      <c r="D11" s="5">
        <v>0.83699999999999997</v>
      </c>
      <c r="E11" s="5">
        <v>0.83699999999999997</v>
      </c>
      <c r="F11" s="5">
        <v>0.83699999999999997</v>
      </c>
      <c r="G11" s="5">
        <v>0.83699999999999997</v>
      </c>
      <c r="H11" s="5">
        <v>0.83699999999999997</v>
      </c>
      <c r="I11" s="5">
        <v>0.96299999999999997</v>
      </c>
      <c r="J11" s="5">
        <v>0.96299999999999997</v>
      </c>
      <c r="K11" s="5">
        <v>0.96299999999999997</v>
      </c>
      <c r="L11" s="5">
        <v>0.106</v>
      </c>
      <c r="M11" s="5">
        <v>0.115</v>
      </c>
      <c r="N11" s="5">
        <v>8.8999999999999996E-2</v>
      </c>
      <c r="O11" s="5" t="s">
        <v>2</v>
      </c>
    </row>
    <row r="12" spans="1:15" x14ac:dyDescent="0.2">
      <c r="A12" s="4">
        <v>43831</v>
      </c>
      <c r="B12" s="4">
        <v>43889</v>
      </c>
      <c r="C12" s="5">
        <v>0.83699999999999997</v>
      </c>
      <c r="D12" s="5">
        <v>0.83699999999999997</v>
      </c>
      <c r="E12" s="5">
        <v>0.83699999999999997</v>
      </c>
      <c r="F12" s="5">
        <v>0.83699999999999997</v>
      </c>
      <c r="G12" s="5">
        <v>0.83699999999999997</v>
      </c>
      <c r="H12" s="5">
        <v>0.83699999999999997</v>
      </c>
      <c r="I12" s="5">
        <v>0.96299999999999997</v>
      </c>
      <c r="J12" s="5">
        <v>0.96299999999999997</v>
      </c>
      <c r="K12" s="5">
        <v>0.96299999999999997</v>
      </c>
      <c r="L12" s="5">
        <v>0.21099999999999999</v>
      </c>
      <c r="M12" s="5">
        <v>0.22600000000000001</v>
      </c>
      <c r="N12" s="5">
        <v>0.17399999999999999</v>
      </c>
      <c r="O12" s="5" t="s">
        <v>2</v>
      </c>
    </row>
    <row r="13" spans="1:15" x14ac:dyDescent="0.2">
      <c r="A13" s="4">
        <v>43891</v>
      </c>
      <c r="B13" s="4">
        <v>43982</v>
      </c>
      <c r="C13" s="5">
        <v>0.93600000000000005</v>
      </c>
      <c r="D13" s="5">
        <v>0.93600000000000005</v>
      </c>
      <c r="E13" s="5">
        <v>0.93600000000000005</v>
      </c>
      <c r="F13" s="5">
        <v>0.93600000000000005</v>
      </c>
      <c r="G13" s="5">
        <v>0.93600000000000005</v>
      </c>
      <c r="H13" s="5">
        <v>0.93600000000000005</v>
      </c>
      <c r="I13" s="6">
        <v>1.0740000000000001</v>
      </c>
      <c r="J13" s="6">
        <v>1.0740000000000001</v>
      </c>
      <c r="K13" s="6">
        <v>1.0740000000000001</v>
      </c>
      <c r="L13" s="5">
        <v>0.23599999999999999</v>
      </c>
      <c r="M13" s="5">
        <v>0.253</v>
      </c>
      <c r="N13" s="5">
        <v>0.19500000000000001</v>
      </c>
      <c r="O13" s="5" t="s">
        <v>2</v>
      </c>
    </row>
    <row r="14" spans="1:15" x14ac:dyDescent="0.2">
      <c r="A14" s="4">
        <v>43983</v>
      </c>
      <c r="B14" s="4">
        <v>44074</v>
      </c>
      <c r="C14" s="5">
        <v>0.93600000000000005</v>
      </c>
      <c r="D14" s="5">
        <v>0.93600000000000005</v>
      </c>
      <c r="E14" s="5">
        <v>0.93600000000000005</v>
      </c>
      <c r="F14" s="6">
        <v>1.0089999999999999</v>
      </c>
      <c r="G14" s="7">
        <v>1009</v>
      </c>
      <c r="H14" s="7">
        <v>1009</v>
      </c>
      <c r="I14" s="6">
        <v>1.0740000000000001</v>
      </c>
      <c r="J14" s="6">
        <v>1.1579999999999999</v>
      </c>
      <c r="K14" s="6">
        <v>1.1579999999999999</v>
      </c>
      <c r="L14" s="5">
        <v>0.254</v>
      </c>
      <c r="M14" s="5">
        <v>0.27300000000000002</v>
      </c>
      <c r="N14" s="5">
        <v>0.21</v>
      </c>
      <c r="O14" s="5" t="s">
        <v>2</v>
      </c>
    </row>
    <row r="15" spans="1:15" x14ac:dyDescent="0.2">
      <c r="A15" s="4">
        <v>44075</v>
      </c>
      <c r="B15" s="4">
        <v>44119</v>
      </c>
      <c r="C15" s="5">
        <v>0.93600000000000005</v>
      </c>
      <c r="D15" s="5">
        <v>0.93600000000000005</v>
      </c>
      <c r="E15" s="5">
        <v>0.93600000000000005</v>
      </c>
      <c r="F15" s="6">
        <v>1.0629999999999999</v>
      </c>
      <c r="G15" s="7">
        <v>1063</v>
      </c>
      <c r="H15" s="7">
        <v>1063</v>
      </c>
      <c r="I15" s="6">
        <v>1.0740000000000001</v>
      </c>
      <c r="J15" s="6">
        <v>1.22</v>
      </c>
      <c r="K15" s="6">
        <v>1.22</v>
      </c>
      <c r="L15" s="5">
        <v>0.26800000000000002</v>
      </c>
      <c r="M15" s="5">
        <v>0.28699999999999998</v>
      </c>
      <c r="N15" s="5">
        <v>0.221</v>
      </c>
      <c r="O15" s="5" t="s">
        <v>2</v>
      </c>
    </row>
    <row r="16" spans="1:15" x14ac:dyDescent="0.2">
      <c r="A16" s="4">
        <v>44120</v>
      </c>
      <c r="B16" s="4">
        <v>44165</v>
      </c>
      <c r="C16" s="6">
        <v>1.0089999999999999</v>
      </c>
      <c r="D16" s="6">
        <v>1.0089999999999999</v>
      </c>
      <c r="E16" s="6">
        <v>1.0089999999999999</v>
      </c>
      <c r="F16" s="6">
        <v>1.0629999999999999</v>
      </c>
      <c r="G16" s="7">
        <v>1063</v>
      </c>
      <c r="H16" s="7">
        <v>1063</v>
      </c>
      <c r="I16" s="6">
        <v>1.1579999999999999</v>
      </c>
      <c r="J16" s="6">
        <v>1.22</v>
      </c>
      <c r="K16" s="6">
        <v>1.22</v>
      </c>
      <c r="L16" s="5">
        <v>0.26800000000000002</v>
      </c>
      <c r="M16" s="5">
        <v>0.28699999999999998</v>
      </c>
      <c r="N16" s="5">
        <v>0.221</v>
      </c>
      <c r="O16" s="5" t="s">
        <v>2</v>
      </c>
    </row>
    <row r="17" spans="1:15" x14ac:dyDescent="0.2">
      <c r="A17" s="4">
        <v>44166</v>
      </c>
      <c r="B17" s="4">
        <v>44180</v>
      </c>
      <c r="C17" s="6">
        <v>1.0089999999999999</v>
      </c>
      <c r="D17" s="6">
        <v>1.0089999999999999</v>
      </c>
      <c r="E17" s="6">
        <v>1.0089999999999999</v>
      </c>
      <c r="F17" s="6">
        <v>1.1439999999999999</v>
      </c>
      <c r="G17" s="7">
        <v>1144</v>
      </c>
      <c r="H17" s="7">
        <v>1144</v>
      </c>
      <c r="I17" s="6">
        <v>1.1579999999999999</v>
      </c>
      <c r="J17" s="6">
        <v>1.3140000000000001</v>
      </c>
      <c r="K17" s="6">
        <v>1.3140000000000001</v>
      </c>
      <c r="L17" s="5">
        <v>0.28799999999999998</v>
      </c>
      <c r="M17" s="5">
        <v>0.309</v>
      </c>
      <c r="N17" s="5">
        <v>0.23799999999999999</v>
      </c>
      <c r="O17" s="5" t="s">
        <v>2</v>
      </c>
    </row>
    <row r="18" spans="1:15" x14ac:dyDescent="0.2">
      <c r="A18" s="4">
        <v>44181</v>
      </c>
      <c r="B18" s="4">
        <v>44196</v>
      </c>
      <c r="C18" s="6">
        <v>1.0629999999999999</v>
      </c>
      <c r="D18" s="6">
        <v>1.0629999999999999</v>
      </c>
      <c r="E18" s="6">
        <v>1.0629999999999999</v>
      </c>
      <c r="F18" s="6">
        <v>1.1439999999999999</v>
      </c>
      <c r="G18" s="6">
        <v>1.1439999999999999</v>
      </c>
      <c r="H18" s="6">
        <v>1.1439999999999999</v>
      </c>
      <c r="I18" s="6">
        <v>1.22</v>
      </c>
      <c r="J18" s="6">
        <v>1.3140000000000001</v>
      </c>
      <c r="K18" s="6">
        <v>1.3140000000000001</v>
      </c>
      <c r="L18" s="5">
        <v>0.28799999999999998</v>
      </c>
      <c r="M18" s="5">
        <v>0.309</v>
      </c>
      <c r="N18" s="5">
        <v>0.23799999999999999</v>
      </c>
      <c r="O18" s="5" t="s">
        <v>2</v>
      </c>
    </row>
    <row r="19" spans="1:15" x14ac:dyDescent="0.2">
      <c r="A19" s="4">
        <v>44197</v>
      </c>
      <c r="B19" s="4">
        <v>44211</v>
      </c>
      <c r="C19" s="6">
        <v>1.0629999999999999</v>
      </c>
      <c r="D19" s="6">
        <v>1.0629999999999999</v>
      </c>
      <c r="E19" s="6">
        <v>1.0629999999999999</v>
      </c>
      <c r="F19" s="6">
        <v>1.1439999999999999</v>
      </c>
      <c r="G19" s="6">
        <v>1.1439999999999999</v>
      </c>
      <c r="H19" s="6">
        <v>1.1439999999999999</v>
      </c>
      <c r="I19" s="6">
        <v>1.22</v>
      </c>
      <c r="J19" s="6">
        <v>1.3140000000000001</v>
      </c>
      <c r="K19" s="6">
        <v>1.3140000000000001</v>
      </c>
      <c r="L19" s="5">
        <v>0.432</v>
      </c>
      <c r="M19" s="5">
        <v>0.46400000000000002</v>
      </c>
      <c r="N19" s="5">
        <v>0.35699999999999998</v>
      </c>
      <c r="O19" s="5" t="s">
        <v>2</v>
      </c>
    </row>
    <row r="20" spans="1:15" x14ac:dyDescent="0.2">
      <c r="A20" s="4">
        <v>44212</v>
      </c>
      <c r="B20" s="4">
        <v>44255</v>
      </c>
      <c r="C20" s="6">
        <v>1.1439999999999999</v>
      </c>
      <c r="D20" s="6">
        <v>1.1439999999999999</v>
      </c>
      <c r="E20" s="6">
        <v>1.1439999999999999</v>
      </c>
      <c r="F20" s="6">
        <v>1.1439999999999999</v>
      </c>
      <c r="G20" s="6">
        <v>1.1439999999999999</v>
      </c>
      <c r="H20" s="6">
        <v>1.1439999999999999</v>
      </c>
      <c r="I20" s="6">
        <v>1.3140000000000001</v>
      </c>
      <c r="J20" s="6">
        <v>1.3140000000000001</v>
      </c>
      <c r="K20" s="6">
        <v>1.3140000000000001</v>
      </c>
      <c r="L20" s="5">
        <v>0.432</v>
      </c>
      <c r="M20" s="5">
        <v>0.46400000000000002</v>
      </c>
      <c r="N20" s="5">
        <v>0.35699999999999998</v>
      </c>
      <c r="O20" s="5" t="s">
        <v>2</v>
      </c>
    </row>
    <row r="21" spans="1:15" x14ac:dyDescent="0.2">
      <c r="A21" s="4">
        <v>44256</v>
      </c>
      <c r="B21" s="4">
        <v>44266</v>
      </c>
      <c r="C21" s="6">
        <v>1.1439999999999999</v>
      </c>
      <c r="D21" s="6">
        <v>1.1439999999999999</v>
      </c>
      <c r="E21" s="6">
        <v>1.1439999999999999</v>
      </c>
      <c r="F21" s="6">
        <v>1.274</v>
      </c>
      <c r="G21" s="6">
        <v>1.274</v>
      </c>
      <c r="H21" s="6">
        <v>1.274</v>
      </c>
      <c r="I21" s="6">
        <v>1.3140000000000001</v>
      </c>
      <c r="J21" s="6">
        <v>1.4630000000000001</v>
      </c>
      <c r="K21" s="6">
        <v>1.4630000000000001</v>
      </c>
      <c r="L21" s="5">
        <v>0.48099999999999998</v>
      </c>
      <c r="M21" s="5">
        <v>0.51700000000000002</v>
      </c>
      <c r="N21" s="5">
        <v>0.39800000000000002</v>
      </c>
      <c r="O21" s="5" t="s">
        <v>2</v>
      </c>
    </row>
    <row r="22" spans="1:15" x14ac:dyDescent="0.2">
      <c r="A22" s="4">
        <v>44267</v>
      </c>
      <c r="B22" s="4">
        <v>44286</v>
      </c>
      <c r="C22" s="6">
        <v>1.274</v>
      </c>
      <c r="D22" s="6">
        <v>1.274</v>
      </c>
      <c r="E22" s="6">
        <v>1.274</v>
      </c>
      <c r="F22" s="6">
        <v>1.274</v>
      </c>
      <c r="G22" s="6">
        <v>1.274</v>
      </c>
      <c r="H22" s="6">
        <v>1.274</v>
      </c>
      <c r="I22" s="6">
        <v>1.4630000000000001</v>
      </c>
      <c r="J22" s="6">
        <v>1.4630000000000001</v>
      </c>
      <c r="K22" s="6">
        <v>1.4630000000000001</v>
      </c>
      <c r="L22" s="5">
        <v>0.48099999999999998</v>
      </c>
      <c r="M22" s="5">
        <v>0.51700000000000002</v>
      </c>
      <c r="N22" s="5">
        <v>0.39800000000000002</v>
      </c>
      <c r="O22" s="5" t="s">
        <v>2</v>
      </c>
    </row>
    <row r="23" spans="1:15" x14ac:dyDescent="0.2">
      <c r="A23" s="4">
        <v>44287</v>
      </c>
      <c r="B23" s="4">
        <v>44347</v>
      </c>
      <c r="C23" s="6">
        <v>1.1930000000000001</v>
      </c>
      <c r="D23" s="6">
        <v>1.1930000000000001</v>
      </c>
      <c r="E23" s="6">
        <v>1.1930000000000001</v>
      </c>
      <c r="F23" s="6">
        <v>1.274</v>
      </c>
      <c r="G23" s="6">
        <v>1.274</v>
      </c>
      <c r="H23" s="6">
        <v>1.274</v>
      </c>
      <c r="I23" s="6">
        <v>1.71</v>
      </c>
      <c r="J23" s="6">
        <v>1.4630000000000001</v>
      </c>
      <c r="K23" s="6">
        <v>1.4630000000000001</v>
      </c>
      <c r="L23" s="5">
        <v>0.48099999999999998</v>
      </c>
      <c r="M23" s="5">
        <v>0.51700000000000002</v>
      </c>
      <c r="N23" s="5">
        <v>0.39800000000000002</v>
      </c>
      <c r="O23" s="5" t="s">
        <v>2</v>
      </c>
    </row>
    <row r="24" spans="1:15" x14ac:dyDescent="0.2">
      <c r="A24" s="4">
        <v>44348</v>
      </c>
      <c r="B24" s="4">
        <v>44367</v>
      </c>
      <c r="C24" s="6">
        <v>1.1930000000000001</v>
      </c>
      <c r="D24" s="6">
        <v>1.1930000000000001</v>
      </c>
      <c r="E24" s="6">
        <v>1.1930000000000001</v>
      </c>
      <c r="F24" s="6">
        <v>1.4390000000000001</v>
      </c>
      <c r="G24" s="6">
        <v>1.4390000000000001</v>
      </c>
      <c r="H24" s="6">
        <v>1.4390000000000001</v>
      </c>
      <c r="I24" s="6">
        <v>1.371</v>
      </c>
      <c r="J24" s="6">
        <v>1.6519999999999999</v>
      </c>
      <c r="K24" s="6">
        <v>1.6519999999999999</v>
      </c>
      <c r="L24" s="5">
        <v>0.54400000000000004</v>
      </c>
      <c r="M24" s="5">
        <v>0.58399999999999996</v>
      </c>
      <c r="N24" s="5">
        <v>0.45</v>
      </c>
      <c r="O24" s="5" t="s">
        <v>2</v>
      </c>
    </row>
    <row r="25" spans="1:15" x14ac:dyDescent="0.2">
      <c r="A25" s="4">
        <v>44368</v>
      </c>
      <c r="B25" s="4">
        <v>44439</v>
      </c>
      <c r="C25" s="6">
        <v>1.274</v>
      </c>
      <c r="D25" s="6">
        <v>1.274</v>
      </c>
      <c r="E25" s="6">
        <v>1.274</v>
      </c>
      <c r="F25" s="6">
        <v>1.4390000000000001</v>
      </c>
      <c r="G25" s="6">
        <v>1.4390000000000001</v>
      </c>
      <c r="H25" s="6">
        <v>1.4390000000000001</v>
      </c>
      <c r="I25" s="6">
        <v>1.4630000000000001</v>
      </c>
      <c r="J25" s="6">
        <v>1.6519999999999999</v>
      </c>
      <c r="K25" s="6">
        <v>1.6519999999999999</v>
      </c>
      <c r="L25" s="5">
        <v>0.54400000000000004</v>
      </c>
      <c r="M25" s="5">
        <v>0.58399999999999996</v>
      </c>
      <c r="N25" s="5">
        <v>0.45</v>
      </c>
      <c r="O25" s="5" t="s">
        <v>2</v>
      </c>
    </row>
    <row r="26" spans="1:15" x14ac:dyDescent="0.2">
      <c r="A26" s="4">
        <v>44440</v>
      </c>
      <c r="B26" s="4">
        <v>44530</v>
      </c>
      <c r="C26" s="6">
        <v>1.274</v>
      </c>
      <c r="D26" s="6">
        <v>1.274</v>
      </c>
      <c r="E26" s="6">
        <v>1.274</v>
      </c>
      <c r="F26" s="6">
        <v>1.597</v>
      </c>
      <c r="G26" s="6">
        <v>1.597</v>
      </c>
      <c r="H26" s="6">
        <v>1.597</v>
      </c>
      <c r="I26" s="6">
        <v>1.4630000000000001</v>
      </c>
      <c r="J26" s="6">
        <v>1.833</v>
      </c>
      <c r="K26" s="6">
        <v>1.833</v>
      </c>
      <c r="L26" s="5">
        <v>0.60299999999999998</v>
      </c>
      <c r="M26" s="5">
        <v>0.64800000000000002</v>
      </c>
      <c r="N26" s="5">
        <v>0.499</v>
      </c>
      <c r="O26" s="5" t="s">
        <v>2</v>
      </c>
    </row>
    <row r="27" spans="1:15" x14ac:dyDescent="0.2">
      <c r="A27" s="4">
        <v>44531</v>
      </c>
      <c r="B27" s="4">
        <v>44561</v>
      </c>
      <c r="C27" s="6">
        <v>1.274</v>
      </c>
      <c r="D27" s="6">
        <v>1.274</v>
      </c>
      <c r="E27" s="6">
        <v>1.274</v>
      </c>
      <c r="F27" s="6">
        <v>1.7450000000000001</v>
      </c>
      <c r="G27" s="6">
        <v>1.7450000000000001</v>
      </c>
      <c r="H27" s="6">
        <v>1.7450000000000001</v>
      </c>
      <c r="I27" s="6">
        <v>1.4630000000000001</v>
      </c>
      <c r="J27" s="6">
        <v>2.0030000000000001</v>
      </c>
      <c r="K27" s="6">
        <v>2.0030000000000001</v>
      </c>
      <c r="L27" s="5">
        <v>0.65900000000000003</v>
      </c>
      <c r="M27" s="5">
        <v>0.70799999999999996</v>
      </c>
      <c r="N27" s="5">
        <v>0.54500000000000004</v>
      </c>
      <c r="O27" s="5" t="s">
        <v>2</v>
      </c>
    </row>
    <row r="28" spans="1:15" x14ac:dyDescent="0.2">
      <c r="A28" s="4">
        <v>44562</v>
      </c>
      <c r="B28" s="4">
        <v>44620</v>
      </c>
      <c r="C28" s="6">
        <v>1.274</v>
      </c>
      <c r="D28" s="6">
        <v>1.274</v>
      </c>
      <c r="E28" s="6">
        <v>1.274</v>
      </c>
      <c r="F28" s="6">
        <v>1.7450000000000001</v>
      </c>
      <c r="G28" s="6">
        <v>1.7450000000000001</v>
      </c>
      <c r="H28" s="6">
        <v>1.7450000000000001</v>
      </c>
      <c r="I28" s="6">
        <v>1.4630000000000001</v>
      </c>
      <c r="J28" s="6">
        <v>2.0030000000000001</v>
      </c>
      <c r="K28" s="6">
        <v>2.0030000000000001</v>
      </c>
      <c r="L28" s="5">
        <v>0.879</v>
      </c>
      <c r="M28" s="5">
        <v>0.94399999999999995</v>
      </c>
      <c r="N28" s="5">
        <v>0.72699999999999998</v>
      </c>
      <c r="O28" s="5" t="s">
        <v>2</v>
      </c>
    </row>
    <row r="29" spans="1:15" x14ac:dyDescent="0.2">
      <c r="A29" s="2">
        <v>44621</v>
      </c>
      <c r="B29" s="2">
        <v>44712</v>
      </c>
      <c r="C29" s="6">
        <v>1.274</v>
      </c>
      <c r="D29" s="6">
        <v>1.274</v>
      </c>
      <c r="E29" s="6">
        <v>1.274</v>
      </c>
      <c r="F29" s="1">
        <v>1.923</v>
      </c>
      <c r="G29" s="1">
        <v>1.923</v>
      </c>
      <c r="H29" s="1">
        <v>1.923</v>
      </c>
      <c r="I29" s="6">
        <v>1.4630000000000001</v>
      </c>
      <c r="J29" s="1">
        <v>2.2080000000000002</v>
      </c>
      <c r="K29" s="1">
        <v>2.2080000000000002</v>
      </c>
      <c r="L29" s="1">
        <v>0.96899999999999997</v>
      </c>
      <c r="M29" s="1">
        <v>1.04</v>
      </c>
      <c r="N29" s="1">
        <v>0.80100000000000005</v>
      </c>
      <c r="O29" s="5" t="s">
        <v>2</v>
      </c>
    </row>
    <row r="30" spans="1:15" x14ac:dyDescent="0.2">
      <c r="A30" s="2">
        <v>44713</v>
      </c>
      <c r="B30" s="2">
        <v>44804</v>
      </c>
      <c r="C30" s="6">
        <v>1.274</v>
      </c>
      <c r="D30" s="6">
        <v>1.274</v>
      </c>
      <c r="E30" s="6">
        <v>1.274</v>
      </c>
      <c r="F30" s="1">
        <v>2.2320000000000002</v>
      </c>
      <c r="G30" s="1">
        <v>2.2320000000000002</v>
      </c>
      <c r="H30" s="1">
        <v>2.2320000000000002</v>
      </c>
      <c r="I30" s="6">
        <v>1.4630000000000001</v>
      </c>
      <c r="J30" s="1">
        <v>2.5619999999999998</v>
      </c>
      <c r="K30" s="1">
        <v>2.5619999999999998</v>
      </c>
      <c r="L30" s="1">
        <v>1.125</v>
      </c>
      <c r="M30" s="1">
        <v>1.2070000000000001</v>
      </c>
      <c r="N30" s="1">
        <v>0.93</v>
      </c>
      <c r="O30" s="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798E4-0030-4041-9335-388C93D81549}">
  <dimension ref="A1:P32"/>
  <sheetViews>
    <sheetView topLeftCell="A8" workbookViewId="0">
      <selection activeCell="L7" sqref="L7"/>
    </sheetView>
  </sheetViews>
  <sheetFormatPr baseColWidth="10" defaultRowHeight="16" x14ac:dyDescent="0.2"/>
  <cols>
    <col min="16" max="16" width="15.33203125" customWidth="1"/>
  </cols>
  <sheetData>
    <row r="1" spans="1:16" x14ac:dyDescent="0.2">
      <c r="C1" t="s">
        <v>3</v>
      </c>
      <c r="E1" t="str">
        <f>econ_ministry_table!C1</f>
        <v>NAFTAS SIN PLOMO, DE MAS DE 92 RON (por litro)</v>
      </c>
      <c r="F1" t="str">
        <f>econ_ministry_table!D1</f>
        <v>NAFTAS SIN PLOMO, DE MAS DE 92 RON (por litro)</v>
      </c>
      <c r="G1" t="str">
        <f>econ_ministry_table!E1</f>
        <v>NAFTAS VIRGEN (por litro)</v>
      </c>
      <c r="H1" t="str">
        <f>econ_ministry_table!F1</f>
        <v>GASOLINA NATURAL O DE PIROLISIS (por litro)</v>
      </c>
      <c r="I1" t="str">
        <f>econ_ministry_table!G1</f>
        <v>SOLVENTE (por litro)</v>
      </c>
      <c r="J1" t="str">
        <f>econ_ministry_table!H1</f>
        <v>AGUARRAS (por litro)</v>
      </c>
      <c r="K1" t="str">
        <f>econ_ministry_table!I1</f>
        <v>GASOIL (por litro)</v>
      </c>
      <c r="L1" t="str">
        <f>econ_ministry_table!J1</f>
        <v>DIESEL OIL (por litro)</v>
      </c>
      <c r="M1" t="str">
        <f>econ_ministry_table!K1</f>
        <v>KEROSENE (por litro)</v>
      </c>
      <c r="N1" t="str">
        <f>econ_ministry_table!L1</f>
        <v>FUEL OIL (por litro)</v>
      </c>
      <c r="O1" t="str">
        <f>econ_ministry_table!M1</f>
        <v xml:space="preserve">COQUE DE PETROLEO (por kilogramo) </v>
      </c>
      <c r="P1" t="str">
        <f>econ_ministry_table!N1</f>
        <v>CARBON MINERAL (por kilogramo)</v>
      </c>
    </row>
    <row r="2" spans="1:16" x14ac:dyDescent="0.2">
      <c r="A2" s="3">
        <f>econ_ministry_table!A2</f>
        <v>43160</v>
      </c>
      <c r="B2" s="3">
        <f>econ_ministry_table!B2</f>
        <v>43251</v>
      </c>
      <c r="C2">
        <f>DATEDIF(A2,B2,"d")</f>
        <v>91</v>
      </c>
      <c r="D2">
        <v>365</v>
      </c>
      <c r="E2">
        <f>econ_ministry_table!C2*pro_rated_temp!$C2/pro_rated_temp!$D2</f>
        <v>0.10271780821917807</v>
      </c>
      <c r="F2">
        <f>econ_ministry_table!D2*pro_rated_temp!$C2/pro_rated_temp!$D2</f>
        <v>0.10271780821917807</v>
      </c>
      <c r="G2">
        <f>econ_ministry_table!E2*pro_rated_temp!$C2/pro_rated_temp!$D2</f>
        <v>0.10271780821917807</v>
      </c>
      <c r="H2">
        <f>econ_ministry_table!F2*pro_rated_temp!$C2/pro_rated_temp!$D2</f>
        <v>0.10271780821917807</v>
      </c>
      <c r="I2">
        <f>econ_ministry_table!G2*pro_rated_temp!$C2/pro_rated_temp!$D2</f>
        <v>0.10271780821917807</v>
      </c>
      <c r="J2">
        <f>econ_ministry_table!H2*pro_rated_temp!$C2/pro_rated_temp!$D2</f>
        <v>0.10271780821917807</v>
      </c>
      <c r="K2">
        <f>econ_ministry_table!I2*pro_rated_temp!$C2/pro_rated_temp!$D2</f>
        <v>0.11792602739726027</v>
      </c>
      <c r="L2">
        <f>econ_ministry_table!J2*pro_rated_temp!$C2/pro_rated_temp!$D2</f>
        <v>0.11792602739726027</v>
      </c>
      <c r="M2">
        <f>econ_ministry_table!K2*pro_rated_temp!$C2/pro_rated_temp!$D2</f>
        <v>0.11792602739726027</v>
      </c>
      <c r="N2" t="e">
        <f>econ_ministry_table!L2*pro_rated_temp!$C2/pro_rated_temp!$D2</f>
        <v>#VALUE!</v>
      </c>
      <c r="O2" t="e">
        <f>econ_ministry_table!M2*pro_rated_temp!$C2/pro_rated_temp!$D2</f>
        <v>#VALUE!</v>
      </c>
      <c r="P2" t="e">
        <f>econ_ministry_table!N2*pro_rated_temp!$C2/pro_rated_temp!$D2</f>
        <v>#VALUE!</v>
      </c>
    </row>
    <row r="3" spans="1:16" x14ac:dyDescent="0.2">
      <c r="A3" s="3">
        <f>econ_ministry_table!A3</f>
        <v>43252</v>
      </c>
      <c r="B3" s="3">
        <f>econ_ministry_table!B3</f>
        <v>43343</v>
      </c>
      <c r="C3">
        <f t="shared" ref="C3:C30" si="0">DATEDIF(A3,B3,"d")</f>
        <v>91</v>
      </c>
      <c r="D3">
        <v>365</v>
      </c>
      <c r="E3">
        <f>econ_ministry_table!C3*pro_rated_temp!$C3/pro_rated_temp!$D3</f>
        <v>0.1096986301369863</v>
      </c>
      <c r="F3">
        <f>econ_ministry_table!D3*pro_rated_temp!$C3/pro_rated_temp!$D3</f>
        <v>0.1096986301369863</v>
      </c>
      <c r="G3">
        <f>econ_ministry_table!E3*pro_rated_temp!$C3/pro_rated_temp!$D3</f>
        <v>0.1096986301369863</v>
      </c>
      <c r="H3">
        <f>econ_ministry_table!F3*pro_rated_temp!$C3/pro_rated_temp!$D3</f>
        <v>0.12590410958904108</v>
      </c>
      <c r="I3">
        <f>econ_ministry_table!G3*pro_rated_temp!$C3/pro_rated_temp!$D3</f>
        <v>0.1096986301369863</v>
      </c>
      <c r="J3">
        <f>econ_ministry_table!H3*pro_rated_temp!$C3/pro_rated_temp!$D3</f>
        <v>0.1096986301369863</v>
      </c>
      <c r="K3">
        <f>econ_ministry_table!I3*pro_rated_temp!$C3/pro_rated_temp!$D3</f>
        <v>0.12590410958904108</v>
      </c>
      <c r="L3">
        <f>econ_ministry_table!J3*pro_rated_temp!$C3/pro_rated_temp!$D3</f>
        <v>0.12590410958904108</v>
      </c>
      <c r="M3">
        <f>econ_ministry_table!K3*pro_rated_temp!$C3/pro_rated_temp!$D3</f>
        <v>0.12590410958904108</v>
      </c>
      <c r="N3" t="e">
        <f>econ_ministry_table!L3*pro_rated_temp!$C3/pro_rated_temp!$D3</f>
        <v>#VALUE!</v>
      </c>
      <c r="O3" t="e">
        <f>econ_ministry_table!M3*pro_rated_temp!$C3/pro_rated_temp!$D3</f>
        <v>#VALUE!</v>
      </c>
      <c r="P3" t="e">
        <f>econ_ministry_table!N3*pro_rated_temp!$C3/pro_rated_temp!$D3</f>
        <v>#VALUE!</v>
      </c>
    </row>
    <row r="4" spans="1:16" x14ac:dyDescent="0.2">
      <c r="A4" s="3">
        <f>econ_ministry_table!A4</f>
        <v>43344</v>
      </c>
      <c r="B4" s="3">
        <f>econ_ministry_table!B4</f>
        <v>43434</v>
      </c>
      <c r="C4">
        <f t="shared" si="0"/>
        <v>90</v>
      </c>
      <c r="D4">
        <v>365</v>
      </c>
      <c r="E4">
        <f>econ_ministry_table!C4*pro_rated_temp!$C4/pro_rated_temp!$D4</f>
        <v>0.11786301369863013</v>
      </c>
      <c r="F4">
        <f>econ_ministry_table!D4*pro_rated_temp!$C4/pro_rated_temp!$D4</f>
        <v>0.11786301369863013</v>
      </c>
      <c r="G4">
        <f>econ_ministry_table!E4*pro_rated_temp!$C4/pro_rated_temp!$D4</f>
        <v>0.11786301369863013</v>
      </c>
      <c r="H4">
        <f>econ_ministry_table!F4*pro_rated_temp!$C4/pro_rated_temp!$D4</f>
        <v>0.13536986301369863</v>
      </c>
      <c r="I4">
        <f>econ_ministry_table!G4*pro_rated_temp!$C4/pro_rated_temp!$D4</f>
        <v>0.11786301369863013</v>
      </c>
      <c r="J4">
        <f>econ_ministry_table!H4*pro_rated_temp!$C4/pro_rated_temp!$D4</f>
        <v>0.11786301369863013</v>
      </c>
      <c r="K4">
        <f>econ_ministry_table!I4*pro_rated_temp!$C4/pro_rated_temp!$D4</f>
        <v>0.13536986301369863</v>
      </c>
      <c r="L4">
        <f>econ_ministry_table!J4*pro_rated_temp!$C4/pro_rated_temp!$D4</f>
        <v>0.13536986301369863</v>
      </c>
      <c r="M4">
        <f>econ_ministry_table!K4*pro_rated_temp!$C4/pro_rated_temp!$D4</f>
        <v>0.13536986301369863</v>
      </c>
      <c r="N4" t="e">
        <f>econ_ministry_table!L4*pro_rated_temp!$C4/pro_rated_temp!$D4</f>
        <v>#VALUE!</v>
      </c>
      <c r="O4" t="e">
        <f>econ_ministry_table!M4*pro_rated_temp!$C4/pro_rated_temp!$D4</f>
        <v>#VALUE!</v>
      </c>
      <c r="P4" t="e">
        <f>econ_ministry_table!N4*pro_rated_temp!$C4/pro_rated_temp!$D4</f>
        <v>#VALUE!</v>
      </c>
    </row>
    <row r="5" spans="1:16" x14ac:dyDescent="0.2">
      <c r="A5" s="3">
        <f>econ_ministry_table!A5</f>
        <v>43435</v>
      </c>
      <c r="B5" s="3">
        <f>econ_ministry_table!B5</f>
        <v>43465</v>
      </c>
      <c r="C5">
        <f t="shared" si="0"/>
        <v>30</v>
      </c>
      <c r="D5">
        <v>365</v>
      </c>
      <c r="E5">
        <f>econ_ministry_table!C5*pro_rated_temp!$C5/pro_rated_temp!$D5</f>
        <v>4.4794520547945207E-2</v>
      </c>
      <c r="F5">
        <f>econ_ministry_table!D5*pro_rated_temp!$C5/pro_rated_temp!$D5</f>
        <v>4.4794520547945207E-2</v>
      </c>
      <c r="G5">
        <f>econ_ministry_table!E5*pro_rated_temp!$C5/pro_rated_temp!$D5</f>
        <v>4.4794520547945207E-2</v>
      </c>
      <c r="H5">
        <f>econ_ministry_table!F5*pro_rated_temp!$C5/pro_rated_temp!$D5</f>
        <v>4.4794520547945207E-2</v>
      </c>
      <c r="I5">
        <f>econ_ministry_table!G5*pro_rated_temp!$C5/pro_rated_temp!$D5</f>
        <v>4.4794520547945207E-2</v>
      </c>
      <c r="J5">
        <f>econ_ministry_table!H5*pro_rated_temp!$C5/pro_rated_temp!$D5</f>
        <v>4.4794520547945207E-2</v>
      </c>
      <c r="K5">
        <f>econ_ministry_table!I5*pro_rated_temp!$C5/pro_rated_temp!$D5</f>
        <v>5.1452054794520551E-2</v>
      </c>
      <c r="L5">
        <f>econ_ministry_table!J5*pro_rated_temp!$C5/pro_rated_temp!$D5</f>
        <v>5.1452054794520551E-2</v>
      </c>
      <c r="M5">
        <f>econ_ministry_table!K5*pro_rated_temp!$C5/pro_rated_temp!$D5</f>
        <v>5.1452054794520551E-2</v>
      </c>
      <c r="N5" t="e">
        <f>econ_ministry_table!L5*pro_rated_temp!$C5/pro_rated_temp!$D5</f>
        <v>#VALUE!</v>
      </c>
      <c r="O5" t="e">
        <f>econ_ministry_table!M5*pro_rated_temp!$C5/pro_rated_temp!$D5</f>
        <v>#VALUE!</v>
      </c>
      <c r="P5" t="e">
        <f>econ_ministry_table!N5*pro_rated_temp!$C5/pro_rated_temp!$D5</f>
        <v>#VALUE!</v>
      </c>
    </row>
    <row r="6" spans="1:16" x14ac:dyDescent="0.2">
      <c r="A6" s="3">
        <f>econ_ministry_table!A6</f>
        <v>43466</v>
      </c>
      <c r="B6" s="3">
        <f>econ_ministry_table!B6</f>
        <v>43524</v>
      </c>
      <c r="C6">
        <f t="shared" si="0"/>
        <v>58</v>
      </c>
      <c r="D6">
        <v>365</v>
      </c>
      <c r="E6">
        <f>econ_ministry_table!C6*pro_rated_temp!$C6/pro_rated_temp!$D6</f>
        <v>8.6602739726027403E-2</v>
      </c>
      <c r="F6">
        <f>econ_ministry_table!D6*pro_rated_temp!$C6/pro_rated_temp!$D6</f>
        <v>8.6602739726027403E-2</v>
      </c>
      <c r="G6">
        <f>econ_ministry_table!E6*pro_rated_temp!$C6/pro_rated_temp!$D6</f>
        <v>8.6602739726027403E-2</v>
      </c>
      <c r="H6">
        <f>econ_ministry_table!F6*pro_rated_temp!$C6/pro_rated_temp!$D6</f>
        <v>8.6602739726027403E-2</v>
      </c>
      <c r="I6">
        <f>econ_ministry_table!G6*pro_rated_temp!$C6/pro_rated_temp!$D6</f>
        <v>8.6602739726027403E-2</v>
      </c>
      <c r="J6">
        <f>econ_ministry_table!H6*pro_rated_temp!$C6/pro_rated_temp!$D6</f>
        <v>8.6602739726027403E-2</v>
      </c>
      <c r="K6">
        <f>econ_ministry_table!I6*pro_rated_temp!$C6/pro_rated_temp!$D6</f>
        <v>9.9473972602739727E-2</v>
      </c>
      <c r="L6">
        <f>econ_ministry_table!J6*pro_rated_temp!$C6/pro_rated_temp!$D6</f>
        <v>9.9473972602739727E-2</v>
      </c>
      <c r="M6">
        <f>econ_ministry_table!K6*pro_rated_temp!$C6/pro_rated_temp!$D6</f>
        <v>9.9473972602739727E-2</v>
      </c>
      <c r="N6">
        <f>econ_ministry_table!L6*pro_rated_temp!$C6/pro_rated_temp!$D6</f>
        <v>1.0964383561643837E-2</v>
      </c>
      <c r="O6">
        <f>econ_ministry_table!M6*pro_rated_temp!$C6/pro_rated_temp!$D6</f>
        <v>1.175890410958904E-2</v>
      </c>
      <c r="P6">
        <f>econ_ministry_table!N6*pro_rated_temp!$C6/pro_rated_temp!$D6</f>
        <v>9.0575342465753425E-3</v>
      </c>
    </row>
    <row r="7" spans="1:16" x14ac:dyDescent="0.2">
      <c r="A7" s="3">
        <f>econ_ministry_table!A7</f>
        <v>43525</v>
      </c>
      <c r="B7" s="3">
        <f>econ_ministry_table!B7</f>
        <v>43616</v>
      </c>
      <c r="C7">
        <f t="shared" si="0"/>
        <v>91</v>
      </c>
      <c r="D7">
        <v>365</v>
      </c>
      <c r="E7">
        <f>econ_ministry_table!C7*pro_rated_temp!$C7/pro_rated_temp!$D7</f>
        <v>0.1515835616438356</v>
      </c>
      <c r="F7">
        <f>econ_ministry_table!D7*pro_rated_temp!$C7/pro_rated_temp!$D7</f>
        <v>0.1515835616438356</v>
      </c>
      <c r="G7">
        <f>econ_ministry_table!E7*pro_rated_temp!$C7/pro_rated_temp!$D7</f>
        <v>0.1515835616438356</v>
      </c>
      <c r="H7">
        <f>econ_ministry_table!F7*pro_rated_temp!$C7/pro_rated_temp!$D7</f>
        <v>0.1515835616438356</v>
      </c>
      <c r="I7">
        <f>econ_ministry_table!G7*pro_rated_temp!$C7/pro_rated_temp!$D7</f>
        <v>0.1515835616438356</v>
      </c>
      <c r="J7">
        <f>econ_ministry_table!H7*pro_rated_temp!$C7/pro_rated_temp!$D7</f>
        <v>0.1515835616438356</v>
      </c>
      <c r="K7">
        <f>econ_ministry_table!I7*pro_rated_temp!$C7/pro_rated_temp!$D7</f>
        <v>0.17427123287671231</v>
      </c>
      <c r="L7">
        <f>econ_ministry_table!J7*pro_rated_temp!$C7/pro_rated_temp!$D7</f>
        <v>0.17427123287671231</v>
      </c>
      <c r="M7">
        <f>econ_ministry_table!K7*pro_rated_temp!$C7/pro_rated_temp!$D7</f>
        <v>0.17427123287671231</v>
      </c>
      <c r="N7">
        <f>econ_ministry_table!L7*pro_rated_temp!$C7/pro_rated_temp!$D7</f>
        <v>1.9197260273972602E-2</v>
      </c>
      <c r="O7">
        <f>econ_ministry_table!M7*pro_rated_temp!$C7/pro_rated_temp!$D7</f>
        <v>2.0693150684931508E-2</v>
      </c>
      <c r="P7">
        <f>econ_ministry_table!N7*pro_rated_temp!$C7/pro_rated_temp!$D7</f>
        <v>0</v>
      </c>
    </row>
    <row r="8" spans="1:16" x14ac:dyDescent="0.2">
      <c r="A8" s="3">
        <f>econ_ministry_table!A8</f>
        <v>43617</v>
      </c>
      <c r="B8" s="3">
        <f>econ_ministry_table!B8</f>
        <v>43708</v>
      </c>
      <c r="C8">
        <f t="shared" si="0"/>
        <v>91</v>
      </c>
      <c r="D8">
        <v>365</v>
      </c>
      <c r="E8">
        <f>econ_ministry_table!C8*pro_rated_temp!$C8/pro_rated_temp!$D8</f>
        <v>0.16953424657534247</v>
      </c>
      <c r="F8">
        <f>econ_ministry_table!D8*pro_rated_temp!$C8/pro_rated_temp!$D8</f>
        <v>0.16953424657534247</v>
      </c>
      <c r="G8">
        <f>econ_ministry_table!E8*pro_rated_temp!$C8/pro_rated_temp!$D8</f>
        <v>0.16953424657534247</v>
      </c>
      <c r="H8">
        <f>econ_ministry_table!F8*pro_rated_temp!$C8/pro_rated_temp!$D8</f>
        <v>0.16953424657534247</v>
      </c>
      <c r="I8">
        <f>econ_ministry_table!G8*pro_rated_temp!$C8/pro_rated_temp!$D8</f>
        <v>0.16953424657534247</v>
      </c>
      <c r="J8">
        <f>econ_ministry_table!H8*pro_rated_temp!$C8/pro_rated_temp!$D8</f>
        <v>0.16953424657534247</v>
      </c>
      <c r="K8">
        <f>econ_ministry_table!I8*pro_rated_temp!$C8/pro_rated_temp!$D8</f>
        <v>0.19496438356164386</v>
      </c>
      <c r="L8">
        <f>econ_ministry_table!J8*pro_rated_temp!$C8/pro_rated_temp!$D8</f>
        <v>0.19496438356164386</v>
      </c>
      <c r="M8">
        <f>econ_ministry_table!K8*pro_rated_temp!$C8/pro_rated_temp!$D8</f>
        <v>0.19496438356164386</v>
      </c>
      <c r="N8">
        <f>econ_ministry_table!L8*pro_rated_temp!$C8/pro_rated_temp!$D8</f>
        <v>2.1441095890410957E-2</v>
      </c>
      <c r="O8">
        <f>econ_ministry_table!M8*pro_rated_temp!$C8/pro_rated_temp!$D8</f>
        <v>2.3186301369863011E-2</v>
      </c>
      <c r="P8">
        <f>econ_ministry_table!N8*pro_rated_temp!$C8/pro_rated_temp!$D8</f>
        <v>1.7950684931506849E-2</v>
      </c>
    </row>
    <row r="9" spans="1:16" x14ac:dyDescent="0.2">
      <c r="A9" s="3">
        <f>econ_ministry_table!A9</f>
        <v>43709</v>
      </c>
      <c r="B9" s="3">
        <f>econ_ministry_table!B9</f>
        <v>43769</v>
      </c>
      <c r="C9">
        <f t="shared" si="0"/>
        <v>60</v>
      </c>
      <c r="D9">
        <v>365</v>
      </c>
      <c r="E9">
        <f>econ_ministry_table!C9*pro_rated_temp!$C9/pro_rated_temp!$D9</f>
        <v>0.11178082191780823</v>
      </c>
      <c r="F9">
        <f>econ_ministry_table!D9*pro_rated_temp!$C9/pro_rated_temp!$D9</f>
        <v>0.11178082191780823</v>
      </c>
      <c r="G9">
        <f>econ_ministry_table!E9*pro_rated_temp!$C9/pro_rated_temp!$D9</f>
        <v>0.11178082191780823</v>
      </c>
      <c r="H9">
        <f>econ_ministry_table!F9*pro_rated_temp!$C9/pro_rated_temp!$D9</f>
        <v>0.1223013698630137</v>
      </c>
      <c r="I9">
        <f>econ_ministry_table!G9*pro_rated_temp!$C9/pro_rated_temp!$D9</f>
        <v>0.1223013698630137</v>
      </c>
      <c r="J9">
        <f>econ_ministry_table!H9*pro_rated_temp!$C9/pro_rated_temp!$D9</f>
        <v>0.1223013698630137</v>
      </c>
      <c r="K9">
        <f>econ_ministry_table!I9*pro_rated_temp!$C9/pro_rated_temp!$D9</f>
        <v>0.12854794520547946</v>
      </c>
      <c r="L9">
        <f>econ_ministry_table!J9*pro_rated_temp!$C9/pro_rated_temp!$D9</f>
        <v>0.14071232876712328</v>
      </c>
      <c r="M9">
        <f>econ_ministry_table!K9*pro_rated_temp!$C9/pro_rated_temp!$D9</f>
        <v>0.14071232876712328</v>
      </c>
      <c r="N9">
        <f>econ_ministry_table!L9*pro_rated_temp!$C9/pro_rated_temp!$D9</f>
        <v>1.5452054794520546E-2</v>
      </c>
      <c r="O9">
        <f>econ_ministry_table!M9*pro_rated_temp!$C9/pro_rated_temp!$D9</f>
        <v>1.6767123287671232E-2</v>
      </c>
      <c r="P9">
        <f>econ_ministry_table!N9*pro_rated_temp!$C9/pro_rated_temp!$D9</f>
        <v>1.2986301369863014E-2</v>
      </c>
    </row>
    <row r="10" spans="1:16" x14ac:dyDescent="0.2">
      <c r="A10" s="3">
        <f>econ_ministry_table!A10</f>
        <v>43770</v>
      </c>
      <c r="B10" s="3">
        <f>econ_ministry_table!B10</f>
        <v>43799</v>
      </c>
      <c r="C10">
        <f t="shared" si="0"/>
        <v>29</v>
      </c>
      <c r="D10">
        <v>365</v>
      </c>
      <c r="E10">
        <f>econ_ministry_table!C10*pro_rated_temp!$C10/pro_rated_temp!$D10</f>
        <v>5.9112328767123287E-2</v>
      </c>
      <c r="F10">
        <f>econ_ministry_table!D10*pro_rated_temp!$C10/pro_rated_temp!$D10</f>
        <v>5.9112328767123287E-2</v>
      </c>
      <c r="G10">
        <f>econ_ministry_table!E10*pro_rated_temp!$C10/pro_rated_temp!$D10</f>
        <v>5.9112328767123287E-2</v>
      </c>
      <c r="H10">
        <f>econ_ministry_table!F10*pro_rated_temp!$C10/pro_rated_temp!$D10</f>
        <v>5.9112328767123287E-2</v>
      </c>
      <c r="I10">
        <f>econ_ministry_table!G10*pro_rated_temp!$C10/pro_rated_temp!$D10</f>
        <v>5.9112328767123287E-2</v>
      </c>
      <c r="J10">
        <f>econ_ministry_table!H10*pro_rated_temp!$C10/pro_rated_temp!$D10</f>
        <v>5.9112328767123287E-2</v>
      </c>
      <c r="K10">
        <f>econ_ministry_table!I10*pro_rated_temp!$C10/pro_rated_temp!$D10</f>
        <v>6.8010958904109589E-2</v>
      </c>
      <c r="L10">
        <f>econ_ministry_table!J10*pro_rated_temp!$C10/pro_rated_temp!$D10</f>
        <v>6.8010958904109589E-2</v>
      </c>
      <c r="M10">
        <f>econ_ministry_table!K10*pro_rated_temp!$C10/pro_rated_temp!$D10</f>
        <v>6.8010958904109589E-2</v>
      </c>
      <c r="N10">
        <f>econ_ministry_table!L10*pro_rated_temp!$C10/pro_rated_temp!$D10</f>
        <v>7.4684931506849312E-3</v>
      </c>
      <c r="O10">
        <f>econ_ministry_table!M10*pro_rated_temp!$C10/pro_rated_temp!$D10</f>
        <v>8.1041095890410954E-3</v>
      </c>
      <c r="P10">
        <f>econ_ministry_table!N10*pro_rated_temp!$C10/pro_rated_temp!$D10</f>
        <v>6.2767123287671232E-3</v>
      </c>
    </row>
    <row r="11" spans="1:16" x14ac:dyDescent="0.2">
      <c r="A11" s="3">
        <f>econ_ministry_table!A11</f>
        <v>43800</v>
      </c>
      <c r="B11" s="3">
        <f>econ_ministry_table!B11</f>
        <v>43830</v>
      </c>
      <c r="C11">
        <f t="shared" si="0"/>
        <v>30</v>
      </c>
      <c r="D11">
        <v>365</v>
      </c>
      <c r="E11">
        <f>econ_ministry_table!C11*pro_rated_temp!$C11/pro_rated_temp!$D11</f>
        <v>6.8794520547945201E-2</v>
      </c>
      <c r="F11">
        <f>econ_ministry_table!D11*pro_rated_temp!$C11/pro_rated_temp!$D11</f>
        <v>6.8794520547945201E-2</v>
      </c>
      <c r="G11">
        <f>econ_ministry_table!E11*pro_rated_temp!$C11/pro_rated_temp!$D11</f>
        <v>6.8794520547945201E-2</v>
      </c>
      <c r="H11">
        <f>econ_ministry_table!F11*pro_rated_temp!$C11/pro_rated_temp!$D11</f>
        <v>6.8794520547945201E-2</v>
      </c>
      <c r="I11">
        <f>econ_ministry_table!G11*pro_rated_temp!$C11/pro_rated_temp!$D11</f>
        <v>6.8794520547945201E-2</v>
      </c>
      <c r="J11">
        <f>econ_ministry_table!H11*pro_rated_temp!$C11/pro_rated_temp!$D11</f>
        <v>6.8794520547945201E-2</v>
      </c>
      <c r="K11">
        <f>econ_ministry_table!I11*pro_rated_temp!$C11/pro_rated_temp!$D11</f>
        <v>7.9150684931506857E-2</v>
      </c>
      <c r="L11">
        <f>econ_ministry_table!J11*pro_rated_temp!$C11/pro_rated_temp!$D11</f>
        <v>7.9150684931506857E-2</v>
      </c>
      <c r="M11">
        <f>econ_ministry_table!K11*pro_rated_temp!$C11/pro_rated_temp!$D11</f>
        <v>7.9150684931506857E-2</v>
      </c>
      <c r="N11">
        <f>econ_ministry_table!L11*pro_rated_temp!$C11/pro_rated_temp!$D11</f>
        <v>8.7123287671232869E-3</v>
      </c>
      <c r="O11">
        <f>econ_ministry_table!M11*pro_rated_temp!$C11/pro_rated_temp!$D11</f>
        <v>9.452054794520548E-3</v>
      </c>
      <c r="P11">
        <f>econ_ministry_table!N11*pro_rated_temp!$C11/pro_rated_temp!$D11</f>
        <v>7.3150684931506844E-3</v>
      </c>
    </row>
    <row r="12" spans="1:16" x14ac:dyDescent="0.2">
      <c r="A12" s="3">
        <f>econ_ministry_table!A12</f>
        <v>43831</v>
      </c>
      <c r="B12" s="3">
        <f>econ_ministry_table!B12</f>
        <v>43889</v>
      </c>
      <c r="C12">
        <f t="shared" si="0"/>
        <v>58</v>
      </c>
      <c r="D12">
        <v>365</v>
      </c>
      <c r="E12">
        <f>econ_ministry_table!C12*pro_rated_temp!$C12/pro_rated_temp!$D12</f>
        <v>0.13300273972602739</v>
      </c>
      <c r="F12">
        <f>econ_ministry_table!D12*pro_rated_temp!$C12/pro_rated_temp!$D12</f>
        <v>0.13300273972602739</v>
      </c>
      <c r="G12">
        <f>econ_ministry_table!E12*pro_rated_temp!$C12/pro_rated_temp!$D12</f>
        <v>0.13300273972602739</v>
      </c>
      <c r="H12">
        <f>econ_ministry_table!F12*pro_rated_temp!$C12/pro_rated_temp!$D12</f>
        <v>0.13300273972602739</v>
      </c>
      <c r="I12">
        <f>econ_ministry_table!G12*pro_rated_temp!$C12/pro_rated_temp!$D12</f>
        <v>0.13300273972602739</v>
      </c>
      <c r="J12">
        <f>econ_ministry_table!H12*pro_rated_temp!$C12/pro_rated_temp!$D12</f>
        <v>0.13300273972602739</v>
      </c>
      <c r="K12">
        <f>econ_ministry_table!I12*pro_rated_temp!$C12/pro_rated_temp!$D12</f>
        <v>0.15302465753424657</v>
      </c>
      <c r="L12">
        <f>econ_ministry_table!J12*pro_rated_temp!$C12/pro_rated_temp!$D12</f>
        <v>0.15302465753424657</v>
      </c>
      <c r="M12">
        <f>econ_ministry_table!K12*pro_rated_temp!$C12/pro_rated_temp!$D12</f>
        <v>0.15302465753424657</v>
      </c>
      <c r="N12">
        <f>econ_ministry_table!L12*pro_rated_temp!$C12/pro_rated_temp!$D12</f>
        <v>3.3528767123287673E-2</v>
      </c>
      <c r="O12">
        <f>econ_ministry_table!M12*pro_rated_temp!$C12/pro_rated_temp!$D12</f>
        <v>3.5912328767123289E-2</v>
      </c>
      <c r="P12">
        <f>econ_ministry_table!N12*pro_rated_temp!$C12/pro_rated_temp!$D12</f>
        <v>2.7649315068493146E-2</v>
      </c>
    </row>
    <row r="13" spans="1:16" x14ac:dyDescent="0.2">
      <c r="A13" s="3">
        <f>econ_ministry_table!A13</f>
        <v>43891</v>
      </c>
      <c r="B13" s="3">
        <f>econ_ministry_table!B13</f>
        <v>43982</v>
      </c>
      <c r="C13">
        <f t="shared" si="0"/>
        <v>91</v>
      </c>
      <c r="D13">
        <v>365</v>
      </c>
      <c r="E13">
        <f>econ_ministry_table!C13*pro_rated_temp!$C13/pro_rated_temp!$D13</f>
        <v>0.23335890410958904</v>
      </c>
      <c r="F13">
        <f>econ_ministry_table!D13*pro_rated_temp!$C13/pro_rated_temp!$D13</f>
        <v>0.23335890410958904</v>
      </c>
      <c r="G13">
        <f>econ_ministry_table!E13*pro_rated_temp!$C13/pro_rated_temp!$D13</f>
        <v>0.23335890410958904</v>
      </c>
      <c r="H13">
        <f>econ_ministry_table!F13*pro_rated_temp!$C13/pro_rated_temp!$D13</f>
        <v>0.23335890410958904</v>
      </c>
      <c r="I13">
        <f>econ_ministry_table!G13*pro_rated_temp!$C13/pro_rated_temp!$D13</f>
        <v>0.23335890410958904</v>
      </c>
      <c r="J13">
        <f>econ_ministry_table!H13*pro_rated_temp!$C13/pro_rated_temp!$D13</f>
        <v>0.23335890410958904</v>
      </c>
      <c r="K13">
        <f>econ_ministry_table!I13*pro_rated_temp!$C13/pro_rated_temp!$D13</f>
        <v>0.26776438356164384</v>
      </c>
      <c r="L13">
        <f>econ_ministry_table!J13*pro_rated_temp!$C13/pro_rated_temp!$D13</f>
        <v>0.26776438356164384</v>
      </c>
      <c r="M13">
        <f>econ_ministry_table!K13*pro_rated_temp!$C13/pro_rated_temp!$D13</f>
        <v>0.26776438356164384</v>
      </c>
      <c r="N13">
        <f>econ_ministry_table!L13*pro_rated_temp!$C13/pro_rated_temp!$D13</f>
        <v>5.8838356164383557E-2</v>
      </c>
      <c r="O13">
        <f>econ_ministry_table!M13*pro_rated_temp!$C13/pro_rated_temp!$D13</f>
        <v>6.3076712328767118E-2</v>
      </c>
      <c r="P13">
        <f>econ_ministry_table!N13*pro_rated_temp!$C13/pro_rated_temp!$D13</f>
        <v>4.8616438356164388E-2</v>
      </c>
    </row>
    <row r="14" spans="1:16" x14ac:dyDescent="0.2">
      <c r="A14" s="3">
        <f>econ_ministry_table!A14</f>
        <v>43983</v>
      </c>
      <c r="B14" s="3">
        <f>econ_ministry_table!B14</f>
        <v>44074</v>
      </c>
      <c r="C14">
        <f t="shared" si="0"/>
        <v>91</v>
      </c>
      <c r="D14">
        <v>365</v>
      </c>
      <c r="E14">
        <f>econ_ministry_table!C14*pro_rated_temp!$C14/pro_rated_temp!$D14</f>
        <v>0.23335890410958904</v>
      </c>
      <c r="F14">
        <f>econ_ministry_table!D14*pro_rated_temp!$C14/pro_rated_temp!$D14</f>
        <v>0.23335890410958904</v>
      </c>
      <c r="G14">
        <f>econ_ministry_table!E14*pro_rated_temp!$C14/pro_rated_temp!$D14</f>
        <v>0.23335890410958904</v>
      </c>
      <c r="H14">
        <f>econ_ministry_table!F14*pro_rated_temp!$C14/pro_rated_temp!$D14</f>
        <v>0.25155890410958903</v>
      </c>
      <c r="I14">
        <f>econ_ministry_table!G14*pro_rated_temp!$C14/pro_rated_temp!$D14</f>
        <v>251.55890410958904</v>
      </c>
      <c r="J14">
        <f>econ_ministry_table!H14*pro_rated_temp!$C14/pro_rated_temp!$D14</f>
        <v>251.55890410958904</v>
      </c>
      <c r="K14">
        <f>econ_ministry_table!I14*pro_rated_temp!$C14/pro_rated_temp!$D14</f>
        <v>0.26776438356164384</v>
      </c>
      <c r="L14">
        <f>econ_ministry_table!J14*pro_rated_temp!$C14/pro_rated_temp!$D14</f>
        <v>0.28870684931506846</v>
      </c>
      <c r="M14">
        <f>econ_ministry_table!K14*pro_rated_temp!$C14/pro_rated_temp!$D14</f>
        <v>0.28870684931506846</v>
      </c>
      <c r="N14">
        <f>econ_ministry_table!L14*pro_rated_temp!$C14/pro_rated_temp!$D14</f>
        <v>6.3326027397260273E-2</v>
      </c>
      <c r="O14">
        <f>econ_ministry_table!M14*pro_rated_temp!$C14/pro_rated_temp!$D14</f>
        <v>6.8063013698630145E-2</v>
      </c>
      <c r="P14">
        <f>econ_ministry_table!N14*pro_rated_temp!$C14/pro_rated_temp!$D14</f>
        <v>5.2356164383561644E-2</v>
      </c>
    </row>
    <row r="15" spans="1:16" x14ac:dyDescent="0.2">
      <c r="A15" s="3">
        <f>econ_ministry_table!A15</f>
        <v>44075</v>
      </c>
      <c r="B15" s="3">
        <f>econ_ministry_table!B15</f>
        <v>44119</v>
      </c>
      <c r="C15">
        <f t="shared" si="0"/>
        <v>44</v>
      </c>
      <c r="D15">
        <v>365</v>
      </c>
      <c r="E15">
        <f>econ_ministry_table!C15*pro_rated_temp!$C15/pro_rated_temp!$D15</f>
        <v>0.11283287671232878</v>
      </c>
      <c r="F15">
        <f>econ_ministry_table!D15*pro_rated_temp!$C15/pro_rated_temp!$D15</f>
        <v>0.11283287671232878</v>
      </c>
      <c r="G15">
        <f>econ_ministry_table!E15*pro_rated_temp!$C15/pro_rated_temp!$D15</f>
        <v>0.11283287671232878</v>
      </c>
      <c r="H15">
        <f>econ_ministry_table!F15*pro_rated_temp!$C15/pro_rated_temp!$D15</f>
        <v>0.12814246575342467</v>
      </c>
      <c r="I15">
        <f>econ_ministry_table!G15*pro_rated_temp!$C15/pro_rated_temp!$D15</f>
        <v>128.14246575342466</v>
      </c>
      <c r="J15">
        <f>econ_ministry_table!H15*pro_rated_temp!$C15/pro_rated_temp!$D15</f>
        <v>128.14246575342466</v>
      </c>
      <c r="K15">
        <f>econ_ministry_table!I15*pro_rated_temp!$C15/pro_rated_temp!$D15</f>
        <v>0.12946849315068493</v>
      </c>
      <c r="L15">
        <f>econ_ministry_table!J15*pro_rated_temp!$C15/pro_rated_temp!$D15</f>
        <v>0.14706849315068493</v>
      </c>
      <c r="M15">
        <f>econ_ministry_table!K15*pro_rated_temp!$C15/pro_rated_temp!$D15</f>
        <v>0.14706849315068493</v>
      </c>
      <c r="N15">
        <f>econ_ministry_table!L15*pro_rated_temp!$C15/pro_rated_temp!$D15</f>
        <v>3.2306849315068498E-2</v>
      </c>
      <c r="O15">
        <f>econ_ministry_table!M15*pro_rated_temp!$C15/pro_rated_temp!$D15</f>
        <v>3.4597260273972599E-2</v>
      </c>
      <c r="P15">
        <f>econ_ministry_table!N15*pro_rated_temp!$C15/pro_rated_temp!$D15</f>
        <v>2.664109589041096E-2</v>
      </c>
    </row>
    <row r="16" spans="1:16" x14ac:dyDescent="0.2">
      <c r="A16" s="3">
        <f>econ_ministry_table!A16</f>
        <v>44120</v>
      </c>
      <c r="B16" s="3">
        <f>econ_ministry_table!B16</f>
        <v>44165</v>
      </c>
      <c r="C16">
        <f t="shared" si="0"/>
        <v>45</v>
      </c>
      <c r="D16">
        <v>365</v>
      </c>
      <c r="E16">
        <f>econ_ministry_table!C16*pro_rated_temp!$C16/pro_rated_temp!$D16</f>
        <v>0.12439726027397259</v>
      </c>
      <c r="F16">
        <f>econ_ministry_table!D16*pro_rated_temp!$C16/pro_rated_temp!$D16</f>
        <v>0.12439726027397259</v>
      </c>
      <c r="G16">
        <f>econ_ministry_table!E16*pro_rated_temp!$C16/pro_rated_temp!$D16</f>
        <v>0.12439726027397259</v>
      </c>
      <c r="H16">
        <f>econ_ministry_table!F16*pro_rated_temp!$C16/pro_rated_temp!$D16</f>
        <v>0.13105479452054794</v>
      </c>
      <c r="I16">
        <f>econ_ministry_table!G16*pro_rated_temp!$C16/pro_rated_temp!$D16</f>
        <v>131.05479452054794</v>
      </c>
      <c r="J16">
        <f>econ_ministry_table!H16*pro_rated_temp!$C16/pro_rated_temp!$D16</f>
        <v>131.05479452054794</v>
      </c>
      <c r="K16">
        <f>econ_ministry_table!I16*pro_rated_temp!$C16/pro_rated_temp!$D16</f>
        <v>0.14276712328767124</v>
      </c>
      <c r="L16">
        <f>econ_ministry_table!J16*pro_rated_temp!$C16/pro_rated_temp!$D16</f>
        <v>0.15041095890410958</v>
      </c>
      <c r="M16">
        <f>econ_ministry_table!K16*pro_rated_temp!$C16/pro_rated_temp!$D16</f>
        <v>0.15041095890410958</v>
      </c>
      <c r="N16">
        <f>econ_ministry_table!L16*pro_rated_temp!$C16/pro_rated_temp!$D16</f>
        <v>3.304109589041096E-2</v>
      </c>
      <c r="O16">
        <f>econ_ministry_table!M16*pro_rated_temp!$C16/pro_rated_temp!$D16</f>
        <v>3.5383561643835611E-2</v>
      </c>
      <c r="P16">
        <f>econ_ministry_table!N16*pro_rated_temp!$C16/pro_rated_temp!$D16</f>
        <v>2.7246575342465756E-2</v>
      </c>
    </row>
    <row r="17" spans="1:16" x14ac:dyDescent="0.2">
      <c r="A17" s="3">
        <f>econ_ministry_table!A17</f>
        <v>44166</v>
      </c>
      <c r="B17" s="3">
        <f>econ_ministry_table!B17</f>
        <v>44180</v>
      </c>
      <c r="C17">
        <f t="shared" si="0"/>
        <v>14</v>
      </c>
      <c r="D17">
        <v>365</v>
      </c>
      <c r="E17">
        <f>econ_ministry_table!C17*pro_rated_temp!$C17/pro_rated_temp!$D17</f>
        <v>3.8701369863013695E-2</v>
      </c>
      <c r="F17">
        <f>econ_ministry_table!D17*pro_rated_temp!$C17/pro_rated_temp!$D17</f>
        <v>3.8701369863013695E-2</v>
      </c>
      <c r="G17">
        <f>econ_ministry_table!E17*pro_rated_temp!$C17/pro_rated_temp!$D17</f>
        <v>3.8701369863013695E-2</v>
      </c>
      <c r="H17">
        <f>econ_ministry_table!F17*pro_rated_temp!$C17/pro_rated_temp!$D17</f>
        <v>4.3879452054794515E-2</v>
      </c>
      <c r="I17">
        <f>econ_ministry_table!G17*pro_rated_temp!$C17/pro_rated_temp!$D17</f>
        <v>43.87945205479452</v>
      </c>
      <c r="J17">
        <f>econ_ministry_table!H17*pro_rated_temp!$C17/pro_rated_temp!$D17</f>
        <v>43.87945205479452</v>
      </c>
      <c r="K17">
        <f>econ_ministry_table!I17*pro_rated_temp!$C17/pro_rated_temp!$D17</f>
        <v>4.4416438356164385E-2</v>
      </c>
      <c r="L17">
        <f>econ_ministry_table!J17*pro_rated_temp!$C17/pro_rated_temp!$D17</f>
        <v>5.04E-2</v>
      </c>
      <c r="M17">
        <f>econ_ministry_table!K17*pro_rated_temp!$C17/pro_rated_temp!$D17</f>
        <v>5.04E-2</v>
      </c>
      <c r="N17">
        <f>econ_ministry_table!L17*pro_rated_temp!$C17/pro_rated_temp!$D17</f>
        <v>1.1046575342465753E-2</v>
      </c>
      <c r="O17">
        <f>econ_ministry_table!M17*pro_rated_temp!$C17/pro_rated_temp!$D17</f>
        <v>1.1852054794520547E-2</v>
      </c>
      <c r="P17">
        <f>econ_ministry_table!N17*pro_rated_temp!$C17/pro_rated_temp!$D17</f>
        <v>9.1287671232876712E-3</v>
      </c>
    </row>
    <row r="18" spans="1:16" x14ac:dyDescent="0.2">
      <c r="A18" s="3">
        <f>econ_ministry_table!A18</f>
        <v>44181</v>
      </c>
      <c r="B18" s="3">
        <f>econ_ministry_table!B18</f>
        <v>44196</v>
      </c>
      <c r="C18">
        <f t="shared" si="0"/>
        <v>15</v>
      </c>
      <c r="D18">
        <v>365</v>
      </c>
      <c r="E18">
        <f>econ_ministry_table!C18*pro_rated_temp!$C18/pro_rated_temp!$D18</f>
        <v>4.3684931506849309E-2</v>
      </c>
      <c r="F18">
        <f>econ_ministry_table!D18*pro_rated_temp!$C18/pro_rated_temp!$D18</f>
        <v>4.3684931506849309E-2</v>
      </c>
      <c r="G18">
        <f>econ_ministry_table!E18*pro_rated_temp!$C18/pro_rated_temp!$D18</f>
        <v>4.3684931506849309E-2</v>
      </c>
      <c r="H18">
        <f>econ_ministry_table!F18*pro_rated_temp!$C18/pro_rated_temp!$D18</f>
        <v>4.7013698630136984E-2</v>
      </c>
      <c r="I18">
        <f>econ_ministry_table!G18*pro_rated_temp!$C18/pro_rated_temp!$D18</f>
        <v>4.7013698630136984E-2</v>
      </c>
      <c r="J18">
        <f>econ_ministry_table!H18*pro_rated_temp!$C18/pro_rated_temp!$D18</f>
        <v>4.7013698630136984E-2</v>
      </c>
      <c r="K18">
        <f>econ_ministry_table!I18*pro_rated_temp!$C18/pro_rated_temp!$D18</f>
        <v>5.0136986301369868E-2</v>
      </c>
      <c r="L18">
        <f>econ_ministry_table!J18*pro_rated_temp!$C18/pro_rated_temp!$D18</f>
        <v>5.3999999999999999E-2</v>
      </c>
      <c r="M18">
        <f>econ_ministry_table!K18*pro_rated_temp!$C18/pro_rated_temp!$D18</f>
        <v>5.3999999999999999E-2</v>
      </c>
      <c r="N18">
        <f>econ_ministry_table!L18*pro_rated_temp!$C18/pro_rated_temp!$D18</f>
        <v>1.1835616438356162E-2</v>
      </c>
      <c r="O18">
        <f>econ_ministry_table!M18*pro_rated_temp!$C18/pro_rated_temp!$D18</f>
        <v>1.2698630136986301E-2</v>
      </c>
      <c r="P18">
        <f>econ_ministry_table!N18*pro_rated_temp!$C18/pro_rated_temp!$D18</f>
        <v>9.7808219178082186E-3</v>
      </c>
    </row>
    <row r="19" spans="1:16" x14ac:dyDescent="0.2">
      <c r="A19" s="3">
        <f>econ_ministry_table!A19</f>
        <v>44197</v>
      </c>
      <c r="B19" s="3">
        <f>econ_ministry_table!B19</f>
        <v>44211</v>
      </c>
      <c r="C19">
        <f t="shared" si="0"/>
        <v>14</v>
      </c>
      <c r="D19">
        <v>365</v>
      </c>
      <c r="E19">
        <f>econ_ministry_table!C19*pro_rated_temp!$C19/pro_rated_temp!$D19</f>
        <v>4.0772602739726028E-2</v>
      </c>
      <c r="F19">
        <f>econ_ministry_table!D19*pro_rated_temp!$C19/pro_rated_temp!$D19</f>
        <v>4.0772602739726028E-2</v>
      </c>
      <c r="G19">
        <f>econ_ministry_table!E19*pro_rated_temp!$C19/pro_rated_temp!$D19</f>
        <v>4.0772602739726028E-2</v>
      </c>
      <c r="H19">
        <f>econ_ministry_table!F19*pro_rated_temp!$C19/pro_rated_temp!$D19</f>
        <v>4.3879452054794515E-2</v>
      </c>
      <c r="I19">
        <f>econ_ministry_table!G19*pro_rated_temp!$C19/pro_rated_temp!$D19</f>
        <v>4.3879452054794515E-2</v>
      </c>
      <c r="J19">
        <f>econ_ministry_table!H19*pro_rated_temp!$C19/pro_rated_temp!$D19</f>
        <v>4.3879452054794515E-2</v>
      </c>
      <c r="K19">
        <f>econ_ministry_table!I19*pro_rated_temp!$C19/pro_rated_temp!$D19</f>
        <v>4.6794520547945202E-2</v>
      </c>
      <c r="L19">
        <f>econ_ministry_table!J19*pro_rated_temp!$C19/pro_rated_temp!$D19</f>
        <v>5.04E-2</v>
      </c>
      <c r="M19">
        <f>econ_ministry_table!K19*pro_rated_temp!$C19/pro_rated_temp!$D19</f>
        <v>5.04E-2</v>
      </c>
      <c r="N19">
        <f>econ_ministry_table!L19*pro_rated_temp!$C19/pro_rated_temp!$D19</f>
        <v>1.656986301369863E-2</v>
      </c>
      <c r="O19">
        <f>econ_ministry_table!M19*pro_rated_temp!$C19/pro_rated_temp!$D19</f>
        <v>1.7797260273972604E-2</v>
      </c>
      <c r="P19">
        <f>econ_ministry_table!N19*pro_rated_temp!$C19/pro_rated_temp!$D19</f>
        <v>1.3693150684931505E-2</v>
      </c>
    </row>
    <row r="20" spans="1:16" x14ac:dyDescent="0.2">
      <c r="A20" s="3">
        <f>econ_ministry_table!A20</f>
        <v>44212</v>
      </c>
      <c r="B20" s="3">
        <f>econ_ministry_table!B20</f>
        <v>44255</v>
      </c>
      <c r="C20">
        <f t="shared" si="0"/>
        <v>43</v>
      </c>
      <c r="D20">
        <v>365</v>
      </c>
      <c r="E20">
        <f>econ_ministry_table!C20*pro_rated_temp!$C20/pro_rated_temp!$D20</f>
        <v>0.13477260273972602</v>
      </c>
      <c r="F20">
        <f>econ_ministry_table!D20*pro_rated_temp!$C20/pro_rated_temp!$D20</f>
        <v>0.13477260273972602</v>
      </c>
      <c r="G20">
        <f>econ_ministry_table!E20*pro_rated_temp!$C20/pro_rated_temp!$D20</f>
        <v>0.13477260273972602</v>
      </c>
      <c r="H20">
        <f>econ_ministry_table!F20*pro_rated_temp!$C20/pro_rated_temp!$D20</f>
        <v>0.13477260273972602</v>
      </c>
      <c r="I20">
        <f>econ_ministry_table!G20*pro_rated_temp!$C20/pro_rated_temp!$D20</f>
        <v>0.13477260273972602</v>
      </c>
      <c r="J20">
        <f>econ_ministry_table!H20*pro_rated_temp!$C20/pro_rated_temp!$D20</f>
        <v>0.13477260273972602</v>
      </c>
      <c r="K20">
        <f>econ_ministry_table!I20*pro_rated_temp!$C20/pro_rated_temp!$D20</f>
        <v>0.15479999999999999</v>
      </c>
      <c r="L20">
        <f>econ_ministry_table!J20*pro_rated_temp!$C20/pro_rated_temp!$D20</f>
        <v>0.15479999999999999</v>
      </c>
      <c r="M20">
        <f>econ_ministry_table!K20*pro_rated_temp!$C20/pro_rated_temp!$D20</f>
        <v>0.15479999999999999</v>
      </c>
      <c r="N20">
        <f>econ_ministry_table!L20*pro_rated_temp!$C20/pro_rated_temp!$D20</f>
        <v>5.0893150684931505E-2</v>
      </c>
      <c r="O20">
        <f>econ_ministry_table!M20*pro_rated_temp!$C20/pro_rated_temp!$D20</f>
        <v>5.4663013698630143E-2</v>
      </c>
      <c r="P20">
        <f>econ_ministry_table!N20*pro_rated_temp!$C20/pro_rated_temp!$D20</f>
        <v>4.2057534246575337E-2</v>
      </c>
    </row>
    <row r="21" spans="1:16" x14ac:dyDescent="0.2">
      <c r="A21" s="3">
        <f>econ_ministry_table!A21</f>
        <v>44256</v>
      </c>
      <c r="B21" s="3">
        <f>econ_ministry_table!B21</f>
        <v>44266</v>
      </c>
      <c r="C21">
        <f t="shared" si="0"/>
        <v>10</v>
      </c>
      <c r="D21">
        <v>365</v>
      </c>
      <c r="E21">
        <f>econ_ministry_table!C21*pro_rated_temp!$C21/pro_rated_temp!$D21</f>
        <v>3.1342465753424656E-2</v>
      </c>
      <c r="F21">
        <f>econ_ministry_table!D21*pro_rated_temp!$C21/pro_rated_temp!$D21</f>
        <v>3.1342465753424656E-2</v>
      </c>
      <c r="G21">
        <f>econ_ministry_table!E21*pro_rated_temp!$C21/pro_rated_temp!$D21</f>
        <v>3.1342465753424656E-2</v>
      </c>
      <c r="H21">
        <f>econ_ministry_table!F21*pro_rated_temp!$C21/pro_rated_temp!$D21</f>
        <v>3.4904109589041096E-2</v>
      </c>
      <c r="I21">
        <f>econ_ministry_table!G21*pro_rated_temp!$C21/pro_rated_temp!$D21</f>
        <v>3.4904109589041096E-2</v>
      </c>
      <c r="J21">
        <f>econ_ministry_table!H21*pro_rated_temp!$C21/pro_rated_temp!$D21</f>
        <v>3.4904109589041096E-2</v>
      </c>
      <c r="K21">
        <f>econ_ministry_table!I21*pro_rated_temp!$C21/pro_rated_temp!$D21</f>
        <v>3.6000000000000004E-2</v>
      </c>
      <c r="L21">
        <f>econ_ministry_table!J21*pro_rated_temp!$C21/pro_rated_temp!$D21</f>
        <v>4.0082191780821917E-2</v>
      </c>
      <c r="M21">
        <f>econ_ministry_table!K21*pro_rated_temp!$C21/pro_rated_temp!$D21</f>
        <v>4.0082191780821917E-2</v>
      </c>
      <c r="N21">
        <f>econ_ministry_table!L21*pro_rated_temp!$C21/pro_rated_temp!$D21</f>
        <v>1.3178082191780821E-2</v>
      </c>
      <c r="O21">
        <f>econ_ministry_table!M21*pro_rated_temp!$C21/pro_rated_temp!$D21</f>
        <v>1.4164383561643835E-2</v>
      </c>
      <c r="P21">
        <f>econ_ministry_table!N21*pro_rated_temp!$C21/pro_rated_temp!$D21</f>
        <v>1.0904109589041098E-2</v>
      </c>
    </row>
    <row r="22" spans="1:16" x14ac:dyDescent="0.2">
      <c r="A22" s="3">
        <f>econ_ministry_table!A22</f>
        <v>44267</v>
      </c>
      <c r="B22" s="3">
        <f>econ_ministry_table!B22</f>
        <v>44286</v>
      </c>
      <c r="C22">
        <f t="shared" si="0"/>
        <v>19</v>
      </c>
      <c r="D22">
        <v>365</v>
      </c>
      <c r="E22">
        <f>econ_ministry_table!C22*pro_rated_temp!$C22/pro_rated_temp!$D22</f>
        <v>6.6317808219178084E-2</v>
      </c>
      <c r="F22">
        <f>econ_ministry_table!D22*pro_rated_temp!$C22/pro_rated_temp!$D22</f>
        <v>6.6317808219178084E-2</v>
      </c>
      <c r="G22">
        <f>econ_ministry_table!E22*pro_rated_temp!$C22/pro_rated_temp!$D22</f>
        <v>6.6317808219178084E-2</v>
      </c>
      <c r="H22">
        <f>econ_ministry_table!F22*pro_rated_temp!$C22/pro_rated_temp!$D22</f>
        <v>6.6317808219178084E-2</v>
      </c>
      <c r="I22">
        <f>econ_ministry_table!G22*pro_rated_temp!$C22/pro_rated_temp!$D22</f>
        <v>6.6317808219178084E-2</v>
      </c>
      <c r="J22">
        <f>econ_ministry_table!H22*pro_rated_temp!$C22/pro_rated_temp!$D22</f>
        <v>6.6317808219178084E-2</v>
      </c>
      <c r="K22">
        <f>econ_ministry_table!I22*pro_rated_temp!$C22/pro_rated_temp!$D22</f>
        <v>7.6156164383561639E-2</v>
      </c>
      <c r="L22">
        <f>econ_ministry_table!J22*pro_rated_temp!$C22/pro_rated_temp!$D22</f>
        <v>7.6156164383561639E-2</v>
      </c>
      <c r="M22">
        <f>econ_ministry_table!K22*pro_rated_temp!$C22/pro_rated_temp!$D22</f>
        <v>7.6156164383561639E-2</v>
      </c>
      <c r="N22">
        <f>econ_ministry_table!L22*pro_rated_temp!$C22/pro_rated_temp!$D22</f>
        <v>2.503835616438356E-2</v>
      </c>
      <c r="O22">
        <f>econ_ministry_table!M22*pro_rated_temp!$C22/pro_rated_temp!$D22</f>
        <v>2.6912328767123288E-2</v>
      </c>
      <c r="P22">
        <f>econ_ministry_table!N22*pro_rated_temp!$C22/pro_rated_temp!$D22</f>
        <v>2.0717808219178083E-2</v>
      </c>
    </row>
    <row r="23" spans="1:16" x14ac:dyDescent="0.2">
      <c r="A23" s="3">
        <f>econ_ministry_table!A23</f>
        <v>44287</v>
      </c>
      <c r="B23" s="3">
        <f>econ_ministry_table!B23</f>
        <v>44347</v>
      </c>
      <c r="C23">
        <f>DATEDIF(A23,B23,"d")</f>
        <v>60</v>
      </c>
      <c r="D23">
        <v>365</v>
      </c>
      <c r="E23">
        <f>econ_ministry_table!C23*pro_rated_temp!$C23/pro_rated_temp!$D23</f>
        <v>0.19610958904109588</v>
      </c>
      <c r="F23">
        <f>econ_ministry_table!D23*pro_rated_temp!$C23/pro_rated_temp!$D23</f>
        <v>0.19610958904109588</v>
      </c>
      <c r="G23">
        <f>econ_ministry_table!E23*pro_rated_temp!$C23/pro_rated_temp!$D23</f>
        <v>0.19610958904109588</v>
      </c>
      <c r="H23">
        <f>econ_ministry_table!F23*pro_rated_temp!$C23/pro_rated_temp!$D23</f>
        <v>0.20942465753424658</v>
      </c>
      <c r="I23">
        <f>econ_ministry_table!G23*pro_rated_temp!$C23/pro_rated_temp!$D23</f>
        <v>0.20942465753424658</v>
      </c>
      <c r="J23">
        <f>econ_ministry_table!H23*pro_rated_temp!$C23/pro_rated_temp!$D23</f>
        <v>0.20942465753424658</v>
      </c>
      <c r="K23">
        <f>econ_ministry_table!I23*pro_rated_temp!$C23/pro_rated_temp!$D23</f>
        <v>0.28109589041095889</v>
      </c>
      <c r="L23">
        <f>econ_ministry_table!J23*pro_rated_temp!$C23/pro_rated_temp!$D23</f>
        <v>0.24049315068493152</v>
      </c>
      <c r="M23">
        <f>econ_ministry_table!K23*pro_rated_temp!$C23/pro_rated_temp!$D23</f>
        <v>0.24049315068493152</v>
      </c>
      <c r="N23">
        <f>econ_ministry_table!L23*pro_rated_temp!$C23/pro_rated_temp!$D23</f>
        <v>7.9068493150684926E-2</v>
      </c>
      <c r="O23">
        <f>econ_ministry_table!M23*pro_rated_temp!$C23/pro_rated_temp!$D23</f>
        <v>8.4986301369863015E-2</v>
      </c>
      <c r="P23">
        <f>econ_ministry_table!N23*pro_rated_temp!$C23/pro_rated_temp!$D23</f>
        <v>6.5424657534246589E-2</v>
      </c>
    </row>
    <row r="24" spans="1:16" x14ac:dyDescent="0.2">
      <c r="A24" s="3">
        <f>econ_ministry_table!A24</f>
        <v>44348</v>
      </c>
      <c r="B24" s="3">
        <f>econ_ministry_table!B24</f>
        <v>44367</v>
      </c>
      <c r="C24">
        <f t="shared" si="0"/>
        <v>19</v>
      </c>
      <c r="D24">
        <v>365</v>
      </c>
      <c r="E24">
        <f>econ_ministry_table!C24*pro_rated_temp!$C24/pro_rated_temp!$D24</f>
        <v>6.2101369863013706E-2</v>
      </c>
      <c r="F24">
        <f>econ_ministry_table!D24*pro_rated_temp!$C24/pro_rated_temp!$D24</f>
        <v>6.2101369863013706E-2</v>
      </c>
      <c r="G24">
        <f>econ_ministry_table!E24*pro_rated_temp!$C24/pro_rated_temp!$D24</f>
        <v>6.2101369863013706E-2</v>
      </c>
      <c r="H24">
        <f>econ_ministry_table!F24*pro_rated_temp!$C24/pro_rated_temp!$D24</f>
        <v>7.4906849315068497E-2</v>
      </c>
      <c r="I24">
        <f>econ_ministry_table!G24*pro_rated_temp!$C24/pro_rated_temp!$D24</f>
        <v>7.4906849315068497E-2</v>
      </c>
      <c r="J24">
        <f>econ_ministry_table!H24*pro_rated_temp!$C24/pro_rated_temp!$D24</f>
        <v>7.4906849315068497E-2</v>
      </c>
      <c r="K24">
        <f>econ_ministry_table!I24*pro_rated_temp!$C24/pro_rated_temp!$D24</f>
        <v>7.1367123287671225E-2</v>
      </c>
      <c r="L24">
        <f>econ_ministry_table!J24*pro_rated_temp!$C24/pro_rated_temp!$D24</f>
        <v>8.5994520547945194E-2</v>
      </c>
      <c r="M24">
        <f>econ_ministry_table!K24*pro_rated_temp!$C24/pro_rated_temp!$D24</f>
        <v>8.5994520547945194E-2</v>
      </c>
      <c r="N24">
        <f>econ_ministry_table!L24*pro_rated_temp!$C24/pro_rated_temp!$D24</f>
        <v>2.8317808219178082E-2</v>
      </c>
      <c r="O24">
        <f>econ_ministry_table!M24*pro_rated_temp!$C24/pro_rated_temp!$D24</f>
        <v>3.04E-2</v>
      </c>
      <c r="P24">
        <f>econ_ministry_table!N24*pro_rated_temp!$C24/pro_rated_temp!$D24</f>
        <v>2.3424657534246576E-2</v>
      </c>
    </row>
    <row r="25" spans="1:16" x14ac:dyDescent="0.2">
      <c r="A25" s="3">
        <f>econ_ministry_table!A25</f>
        <v>44368</v>
      </c>
      <c r="B25" s="3">
        <f>econ_ministry_table!B25</f>
        <v>44439</v>
      </c>
      <c r="C25">
        <f t="shared" si="0"/>
        <v>71</v>
      </c>
      <c r="D25">
        <v>365</v>
      </c>
      <c r="E25">
        <f>econ_ministry_table!C25*pro_rated_temp!$C25/pro_rated_temp!$D25</f>
        <v>0.24781917808219181</v>
      </c>
      <c r="F25">
        <f>econ_ministry_table!D25*pro_rated_temp!$C25/pro_rated_temp!$D25</f>
        <v>0.24781917808219181</v>
      </c>
      <c r="G25">
        <f>econ_ministry_table!E25*pro_rated_temp!$C25/pro_rated_temp!$D25</f>
        <v>0.24781917808219181</v>
      </c>
      <c r="H25">
        <f>econ_ministry_table!F25*pro_rated_temp!$C25/pro_rated_temp!$D25</f>
        <v>0.27991506849315073</v>
      </c>
      <c r="I25">
        <f>econ_ministry_table!G25*pro_rated_temp!$C25/pro_rated_temp!$D25</f>
        <v>0.27991506849315073</v>
      </c>
      <c r="J25">
        <f>econ_ministry_table!H25*pro_rated_temp!$C25/pro_rated_temp!$D25</f>
        <v>0.27991506849315073</v>
      </c>
      <c r="K25">
        <f>econ_ministry_table!I25*pro_rated_temp!$C25/pro_rated_temp!$D25</f>
        <v>0.28458356164383564</v>
      </c>
      <c r="L25">
        <f>econ_ministry_table!J25*pro_rated_temp!$C25/pro_rated_temp!$D25</f>
        <v>0.32134794520547943</v>
      </c>
      <c r="M25">
        <f>econ_ministry_table!K25*pro_rated_temp!$C25/pro_rated_temp!$D25</f>
        <v>0.32134794520547943</v>
      </c>
      <c r="N25">
        <f>econ_ministry_table!L25*pro_rated_temp!$C25/pro_rated_temp!$D25</f>
        <v>0.10581917808219178</v>
      </c>
      <c r="O25">
        <f>econ_ministry_table!M25*pro_rated_temp!$C25/pro_rated_temp!$D25</f>
        <v>0.11359999999999999</v>
      </c>
      <c r="P25">
        <f>econ_ministry_table!N25*pro_rated_temp!$C25/pro_rated_temp!$D25</f>
        <v>8.7534246575342464E-2</v>
      </c>
    </row>
    <row r="26" spans="1:16" x14ac:dyDescent="0.2">
      <c r="A26" s="3">
        <f>econ_ministry_table!A26</f>
        <v>44440</v>
      </c>
      <c r="B26" s="3">
        <f>econ_ministry_table!B26</f>
        <v>44530</v>
      </c>
      <c r="C26">
        <f t="shared" si="0"/>
        <v>90</v>
      </c>
      <c r="D26">
        <v>365</v>
      </c>
      <c r="E26">
        <f>econ_ministry_table!C26*pro_rated_temp!$C26/pro_rated_temp!$D26</f>
        <v>0.31413698630136988</v>
      </c>
      <c r="F26">
        <f>econ_ministry_table!D26*pro_rated_temp!$C26/pro_rated_temp!$D26</f>
        <v>0.31413698630136988</v>
      </c>
      <c r="G26">
        <f>econ_ministry_table!E26*pro_rated_temp!$C26/pro_rated_temp!$D26</f>
        <v>0.31413698630136988</v>
      </c>
      <c r="H26">
        <f>econ_ministry_table!F26*pro_rated_temp!$C26/pro_rated_temp!$D26</f>
        <v>0.39378082191780817</v>
      </c>
      <c r="I26">
        <f>econ_ministry_table!G26*pro_rated_temp!$C26/pro_rated_temp!$D26</f>
        <v>0.39378082191780817</v>
      </c>
      <c r="J26">
        <f>econ_ministry_table!H26*pro_rated_temp!$C26/pro_rated_temp!$D26</f>
        <v>0.39378082191780817</v>
      </c>
      <c r="K26">
        <f>econ_ministry_table!I26*pro_rated_temp!$C26/pro_rated_temp!$D26</f>
        <v>0.36073972602739729</v>
      </c>
      <c r="L26">
        <f>econ_ministry_table!J26*pro_rated_temp!$C26/pro_rated_temp!$D26</f>
        <v>0.451972602739726</v>
      </c>
      <c r="M26">
        <f>econ_ministry_table!K26*pro_rated_temp!$C26/pro_rated_temp!$D26</f>
        <v>0.451972602739726</v>
      </c>
      <c r="N26">
        <f>econ_ministry_table!L26*pro_rated_temp!$C26/pro_rated_temp!$D26</f>
        <v>0.1486849315068493</v>
      </c>
      <c r="O26">
        <f>econ_ministry_table!M26*pro_rated_temp!$C26/pro_rated_temp!$D26</f>
        <v>0.15978082191780821</v>
      </c>
      <c r="P26">
        <f>econ_ministry_table!N26*pro_rated_temp!$C26/pro_rated_temp!$D26</f>
        <v>0.12304109589041096</v>
      </c>
    </row>
    <row r="27" spans="1:16" x14ac:dyDescent="0.2">
      <c r="A27" s="3">
        <f>econ_ministry_table!A27</f>
        <v>44531</v>
      </c>
      <c r="B27" s="3">
        <f>econ_ministry_table!B27</f>
        <v>44561</v>
      </c>
      <c r="C27">
        <f t="shared" si="0"/>
        <v>30</v>
      </c>
      <c r="D27">
        <v>365</v>
      </c>
      <c r="E27">
        <f>econ_ministry_table!C27*pro_rated_temp!$C27/pro_rated_temp!$D27</f>
        <v>0.10471232876712329</v>
      </c>
      <c r="F27">
        <f>econ_ministry_table!D27*pro_rated_temp!$C27/pro_rated_temp!$D27</f>
        <v>0.10471232876712329</v>
      </c>
      <c r="G27">
        <f>econ_ministry_table!E27*pro_rated_temp!$C27/pro_rated_temp!$D27</f>
        <v>0.10471232876712329</v>
      </c>
      <c r="H27">
        <f>econ_ministry_table!F27*pro_rated_temp!$C27/pro_rated_temp!$D27</f>
        <v>0.14342465753424657</v>
      </c>
      <c r="I27">
        <f>econ_ministry_table!G27*pro_rated_temp!$C27/pro_rated_temp!$D27</f>
        <v>0.14342465753424657</v>
      </c>
      <c r="J27">
        <f>econ_ministry_table!H27*pro_rated_temp!$C27/pro_rated_temp!$D27</f>
        <v>0.14342465753424657</v>
      </c>
      <c r="K27">
        <f>econ_ministry_table!I27*pro_rated_temp!$C27/pro_rated_temp!$D27</f>
        <v>0.12024657534246576</v>
      </c>
      <c r="L27">
        <f>econ_ministry_table!J27*pro_rated_temp!$C27/pro_rated_temp!$D27</f>
        <v>0.16463013698630138</v>
      </c>
      <c r="M27">
        <f>econ_ministry_table!K27*pro_rated_temp!$C27/pro_rated_temp!$D27</f>
        <v>0.16463013698630138</v>
      </c>
      <c r="N27">
        <f>econ_ministry_table!L27*pro_rated_temp!$C27/pro_rated_temp!$D27</f>
        <v>5.4164383561643832E-2</v>
      </c>
      <c r="O27">
        <f>econ_ministry_table!M27*pro_rated_temp!$C27/pro_rated_temp!$D27</f>
        <v>5.8191780821917803E-2</v>
      </c>
      <c r="P27">
        <f>econ_ministry_table!N27*pro_rated_temp!$C27/pro_rated_temp!$D27</f>
        <v>4.4794520547945207E-2</v>
      </c>
    </row>
    <row r="28" spans="1:16" x14ac:dyDescent="0.2">
      <c r="A28" s="3">
        <f>econ_ministry_table!A28</f>
        <v>44562</v>
      </c>
      <c r="B28" s="3">
        <f>econ_ministry_table!B28</f>
        <v>44620</v>
      </c>
      <c r="C28">
        <f t="shared" si="0"/>
        <v>58</v>
      </c>
      <c r="D28">
        <v>365</v>
      </c>
      <c r="E28">
        <f>econ_ministry_table!C28*pro_rated_temp!$C28/pro_rated_temp!$D28</f>
        <v>0.20244383561643833</v>
      </c>
      <c r="F28">
        <f>econ_ministry_table!D28*pro_rated_temp!$C28/pro_rated_temp!$D28</f>
        <v>0.20244383561643833</v>
      </c>
      <c r="G28">
        <f>econ_ministry_table!E28*pro_rated_temp!$C28/pro_rated_temp!$D28</f>
        <v>0.20244383561643833</v>
      </c>
      <c r="H28">
        <f>econ_ministry_table!F28*pro_rated_temp!$C28/pro_rated_temp!$D28</f>
        <v>0.27728767123287673</v>
      </c>
      <c r="I28">
        <f>econ_ministry_table!G28*pro_rated_temp!$C28/pro_rated_temp!$D28</f>
        <v>0.27728767123287673</v>
      </c>
      <c r="J28">
        <f>econ_ministry_table!H28*pro_rated_temp!$C28/pro_rated_temp!$D28</f>
        <v>0.27728767123287673</v>
      </c>
      <c r="K28">
        <f>econ_ministry_table!I28*pro_rated_temp!$C28/pro_rated_temp!$D28</f>
        <v>0.23247671232876713</v>
      </c>
      <c r="L28">
        <f>econ_ministry_table!J28*pro_rated_temp!$C28/pro_rated_temp!$D28</f>
        <v>0.31828493150684933</v>
      </c>
      <c r="M28">
        <f>econ_ministry_table!K28*pro_rated_temp!$C28/pro_rated_temp!$D28</f>
        <v>0.31828493150684933</v>
      </c>
      <c r="N28">
        <f>econ_ministry_table!L28*pro_rated_temp!$C28/pro_rated_temp!$D28</f>
        <v>0.13967671232876713</v>
      </c>
      <c r="O28">
        <f>econ_ministry_table!M28*pro_rated_temp!$C28/pro_rated_temp!$D28</f>
        <v>0.15000547945205478</v>
      </c>
      <c r="P28">
        <f>econ_ministry_table!N28*pro_rated_temp!$C28/pro_rated_temp!$D28</f>
        <v>0.11552328767123286</v>
      </c>
    </row>
    <row r="29" spans="1:16" x14ac:dyDescent="0.2">
      <c r="A29" s="3">
        <f>econ_ministry_table!A29</f>
        <v>44621</v>
      </c>
      <c r="B29" s="3">
        <f>econ_ministry_table!B29</f>
        <v>44712</v>
      </c>
      <c r="C29">
        <f t="shared" si="0"/>
        <v>91</v>
      </c>
      <c r="D29">
        <v>365</v>
      </c>
      <c r="E29">
        <f>econ_ministry_table!C29*pro_rated_temp!$C29/pro_rated_temp!$D29</f>
        <v>0.31762739726027395</v>
      </c>
      <c r="F29">
        <f>econ_ministry_table!D29*pro_rated_temp!$C29/pro_rated_temp!$D29</f>
        <v>0.31762739726027395</v>
      </c>
      <c r="G29">
        <f>econ_ministry_table!E29*pro_rated_temp!$C29/pro_rated_temp!$D29</f>
        <v>0.31762739726027395</v>
      </c>
      <c r="H29">
        <f>econ_ministry_table!F29*pro_rated_temp!$C29/pro_rated_temp!$D29</f>
        <v>0.47943287671232876</v>
      </c>
      <c r="I29">
        <f>econ_ministry_table!G29*pro_rated_temp!$C29/pro_rated_temp!$D29</f>
        <v>0.47943287671232876</v>
      </c>
      <c r="J29">
        <f>econ_ministry_table!H29*pro_rated_temp!$C29/pro_rated_temp!$D29</f>
        <v>0.47943287671232876</v>
      </c>
      <c r="K29">
        <f>econ_ministry_table!I29*pro_rated_temp!$C29/pro_rated_temp!$D29</f>
        <v>0.36474794520547948</v>
      </c>
      <c r="L29">
        <f>econ_ministry_table!J29*pro_rated_temp!$C29/pro_rated_temp!$D29</f>
        <v>0.55048767123287679</v>
      </c>
      <c r="M29">
        <f>econ_ministry_table!K29*pro_rated_temp!$C29/pro_rated_temp!$D29</f>
        <v>0.55048767123287679</v>
      </c>
      <c r="N29">
        <f>econ_ministry_table!L29*pro_rated_temp!$C29/pro_rated_temp!$D29</f>
        <v>0.24158630136986303</v>
      </c>
      <c r="O29">
        <f>econ_ministry_table!M29*pro_rated_temp!$C29/pro_rated_temp!$D29</f>
        <v>0.25928767123287672</v>
      </c>
      <c r="P29">
        <f>econ_ministry_table!N29*pro_rated_temp!$C29/pro_rated_temp!$D29</f>
        <v>0.19970136986301371</v>
      </c>
    </row>
    <row r="30" spans="1:16" x14ac:dyDescent="0.2">
      <c r="A30" s="3">
        <f>econ_ministry_table!A30</f>
        <v>44713</v>
      </c>
      <c r="B30" s="3">
        <f>econ_ministry_table!B30</f>
        <v>44804</v>
      </c>
      <c r="C30">
        <f t="shared" si="0"/>
        <v>91</v>
      </c>
      <c r="D30">
        <v>365</v>
      </c>
      <c r="E30">
        <f>econ_ministry_table!C30*pro_rated_temp!$C30/pro_rated_temp!$D30</f>
        <v>0.31762739726027395</v>
      </c>
      <c r="F30">
        <f>econ_ministry_table!D30*pro_rated_temp!$C30/pro_rated_temp!$D30</f>
        <v>0.31762739726027395</v>
      </c>
      <c r="G30">
        <f>econ_ministry_table!E30*pro_rated_temp!$C30/pro_rated_temp!$D30</f>
        <v>0.31762739726027395</v>
      </c>
      <c r="H30">
        <f>econ_ministry_table!F30*pro_rated_temp!$C30/pro_rated_temp!$D30</f>
        <v>0.55647123287671241</v>
      </c>
      <c r="I30">
        <f>econ_ministry_table!G30*pro_rated_temp!$C30/pro_rated_temp!$D30</f>
        <v>0.55647123287671241</v>
      </c>
      <c r="J30">
        <f>econ_ministry_table!H30*pro_rated_temp!$C30/pro_rated_temp!$D30</f>
        <v>0.55647123287671241</v>
      </c>
      <c r="K30">
        <f>econ_ministry_table!I30*pro_rated_temp!$C30/pro_rated_temp!$D30</f>
        <v>0.36474794520547948</v>
      </c>
      <c r="L30">
        <f>econ_ministry_table!J30*pro_rated_temp!$C30/pro_rated_temp!$D30</f>
        <v>0.63874520547945202</v>
      </c>
      <c r="M30">
        <f>econ_ministry_table!K30*pro_rated_temp!$C30/pro_rated_temp!$D30</f>
        <v>0.63874520547945202</v>
      </c>
      <c r="N30">
        <f>econ_ministry_table!L30*pro_rated_temp!$C30/pro_rated_temp!$D30</f>
        <v>0.28047945205479452</v>
      </c>
      <c r="O30">
        <f>econ_ministry_table!M30*pro_rated_temp!$C30/pro_rated_temp!$D30</f>
        <v>0.30092328767123289</v>
      </c>
      <c r="P30">
        <f>econ_ministry_table!N30*pro_rated_temp!$C30/pro_rated_temp!$D30</f>
        <v>0.23186301369863016</v>
      </c>
    </row>
    <row r="31" spans="1:16" x14ac:dyDescent="0.2">
      <c r="A31" s="3"/>
      <c r="B31" s="3"/>
    </row>
    <row r="32" spans="1:16" x14ac:dyDescent="0.2">
      <c r="A32" s="3"/>
      <c r="B3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2BFB0-D1E7-0B47-BD16-6B9463548B75}">
  <dimension ref="A1:M6"/>
  <sheetViews>
    <sheetView workbookViewId="0">
      <selection activeCell="E1" sqref="E1"/>
    </sheetView>
  </sheetViews>
  <sheetFormatPr baseColWidth="10" defaultRowHeight="16" x14ac:dyDescent="0.2"/>
  <cols>
    <col min="5" max="5" width="15.83203125" customWidth="1"/>
    <col min="12" max="12" width="14.33203125" customWidth="1"/>
  </cols>
  <sheetData>
    <row r="1" spans="1:13" x14ac:dyDescent="0.2">
      <c r="B1" t="str">
        <f>pro_rated_temp!E1</f>
        <v>NAFTAS SIN PLOMO, DE MAS DE 92 RON (por litro)</v>
      </c>
      <c r="C1" t="str">
        <f>pro_rated_temp!F1</f>
        <v>NAFTAS SIN PLOMO, DE MAS DE 92 RON (por litro)</v>
      </c>
      <c r="D1" t="str">
        <f>pro_rated_temp!G1</f>
        <v>NAFTAS VIRGEN (por litro)</v>
      </c>
      <c r="E1" t="str">
        <f>pro_rated_temp!H1</f>
        <v>GASOLINA NATURAL O DE PIROLISIS (por litro)</v>
      </c>
      <c r="F1" t="str">
        <f>pro_rated_temp!I1</f>
        <v>SOLVENTE (por litro)</v>
      </c>
      <c r="G1" t="str">
        <f>pro_rated_temp!J1</f>
        <v>AGUARRAS (por litro)</v>
      </c>
      <c r="H1" t="str">
        <f>pro_rated_temp!K1</f>
        <v>GASOIL (por litro)</v>
      </c>
      <c r="I1" t="str">
        <f>pro_rated_temp!L1</f>
        <v>DIESEL OIL (por litro)</v>
      </c>
      <c r="J1" t="str">
        <f>pro_rated_temp!M1</f>
        <v>KEROSENE (por litro)</v>
      </c>
      <c r="K1" t="str">
        <f>pro_rated_temp!N1</f>
        <v>FUEL OIL (por litro)</v>
      </c>
      <c r="L1" t="str">
        <f>pro_rated_temp!O1</f>
        <v xml:space="preserve">COQUE DE PETROLEO (por kilogramo) </v>
      </c>
      <c r="M1" t="str">
        <f>pro_rated_temp!P1</f>
        <v>CARBON MINERAL (por kilogramo)</v>
      </c>
    </row>
    <row r="2" spans="1:13" x14ac:dyDescent="0.2">
      <c r="A2">
        <v>2018</v>
      </c>
      <c r="B2">
        <f>SUM(pro_rated_temp!E2:E5)</f>
        <v>0.37507397260273967</v>
      </c>
      <c r="C2">
        <f>SUM(pro_rated_temp!F2:F5)</f>
        <v>0.37507397260273967</v>
      </c>
      <c r="D2">
        <f>SUM(pro_rated_temp!G2:G5)</f>
        <v>0.37507397260273967</v>
      </c>
      <c r="E2">
        <f>SUM(pro_rated_temp!H2:H5)</f>
        <v>0.40878630136986299</v>
      </c>
      <c r="F2">
        <f>SUM(pro_rated_temp!I2:I5)</f>
        <v>0.37507397260273967</v>
      </c>
      <c r="G2">
        <f>SUM(pro_rated_temp!J2:J5)</f>
        <v>0.37507397260273967</v>
      </c>
      <c r="H2">
        <f>SUM(pro_rated_temp!K2:K5)</f>
        <v>0.43065205479452051</v>
      </c>
      <c r="I2">
        <f>SUM(pro_rated_temp!L2:L5)</f>
        <v>0.43065205479452051</v>
      </c>
      <c r="J2">
        <f>SUM(pro_rated_temp!M2:M5)</f>
        <v>0.43065205479452051</v>
      </c>
      <c r="K2" t="e">
        <f>SUM(pro_rated_temp!N2:N5)</f>
        <v>#VALUE!</v>
      </c>
      <c r="L2" t="e">
        <f>SUM(pro_rated_temp!O2:O5)</f>
        <v>#VALUE!</v>
      </c>
      <c r="M2" t="e">
        <f>SUM(pro_rated_temp!P2:P5)</f>
        <v>#VALUE!</v>
      </c>
    </row>
    <row r="3" spans="1:13" x14ac:dyDescent="0.2">
      <c r="A3">
        <v>2019</v>
      </c>
      <c r="B3">
        <f>SUM(pro_rated_temp!E6:E11)</f>
        <v>0.64740821917808222</v>
      </c>
      <c r="C3">
        <f>SUM(pro_rated_temp!F6:F11)</f>
        <v>0.64740821917808222</v>
      </c>
      <c r="D3">
        <f>SUM(pro_rated_temp!G6:G11)</f>
        <v>0.64740821917808222</v>
      </c>
      <c r="E3">
        <f>SUM(pro_rated_temp!H6:H11)</f>
        <v>0.65792876712328763</v>
      </c>
      <c r="F3">
        <f>SUM(pro_rated_temp!I6:I11)</f>
        <v>0.65792876712328763</v>
      </c>
      <c r="G3">
        <f>SUM(pro_rated_temp!J6:J11)</f>
        <v>0.65792876712328763</v>
      </c>
      <c r="H3">
        <f>SUM(pro_rated_temp!K6:K11)</f>
        <v>0.74441917808219182</v>
      </c>
      <c r="I3">
        <f>SUM(pro_rated_temp!L6:L11)</f>
        <v>0.75658356164383567</v>
      </c>
      <c r="J3">
        <f>SUM(pro_rated_temp!M6:M11)</f>
        <v>0.75658356164383567</v>
      </c>
      <c r="K3">
        <f>SUM(pro_rated_temp!N6:N11)</f>
        <v>8.3235616438356155E-2</v>
      </c>
      <c r="L3">
        <f>SUM(pro_rated_temp!O6:O11)</f>
        <v>8.9961643835616431E-2</v>
      </c>
      <c r="M3">
        <f>SUM(pro_rated_temp!P6:P11)</f>
        <v>5.3586301369863018E-2</v>
      </c>
    </row>
    <row r="4" spans="1:13" x14ac:dyDescent="0.2">
      <c r="A4">
        <v>2020</v>
      </c>
      <c r="B4">
        <f>SUM(pro_rated_temp!E12:E18)</f>
        <v>0.91933698630136973</v>
      </c>
      <c r="C4">
        <f>SUM(pro_rated_temp!F12:F18)</f>
        <v>0.91933698630136973</v>
      </c>
      <c r="D4">
        <f>SUM(pro_rated_temp!G12:G18)</f>
        <v>0.91933698630136973</v>
      </c>
      <c r="E4">
        <f>SUM(pro_rated_temp!H12:H18)</f>
        <v>0.96801095890410949</v>
      </c>
      <c r="F4">
        <f>SUM(pro_rated_temp!I12:I18)</f>
        <v>555.04899178082201</v>
      </c>
      <c r="G4">
        <f>SUM(pro_rated_temp!J12:J18)</f>
        <v>555.04899178082201</v>
      </c>
      <c r="H4">
        <f>SUM(pro_rated_temp!K12:K18)</f>
        <v>1.0553424657534247</v>
      </c>
      <c r="I4">
        <f>SUM(pro_rated_temp!L12:L18)</f>
        <v>1.1113753424657535</v>
      </c>
      <c r="J4">
        <f>SUM(pro_rated_temp!M12:M18)</f>
        <v>1.1113753424657535</v>
      </c>
      <c r="K4">
        <f>SUM(pro_rated_temp!N12:N18)</f>
        <v>0.24392328767123286</v>
      </c>
      <c r="L4">
        <f>SUM(pro_rated_temp!O12:O18)</f>
        <v>0.26158356164383562</v>
      </c>
      <c r="M4">
        <f>SUM(pro_rated_temp!P12:P18)</f>
        <v>0.20141917808219179</v>
      </c>
    </row>
    <row r="5" spans="1:13" x14ac:dyDescent="0.2">
      <c r="A5">
        <v>2021</v>
      </c>
      <c r="B5">
        <f>SUM(pro_rated_temp!E19:E27)</f>
        <v>1.1980849315068494</v>
      </c>
      <c r="C5">
        <f>SUM(pro_rated_temp!F19:F27)</f>
        <v>1.1980849315068494</v>
      </c>
      <c r="D5">
        <f>SUM(pro_rated_temp!G19:G27)</f>
        <v>1.1980849315068494</v>
      </c>
      <c r="E5">
        <f>SUM(pro_rated_temp!H19:H27)</f>
        <v>1.3813260273972603</v>
      </c>
      <c r="F5">
        <f>SUM(pro_rated_temp!I19:I27)</f>
        <v>1.3813260273972603</v>
      </c>
      <c r="G5">
        <f>SUM(pro_rated_temp!J19:J27)</f>
        <v>1.3813260273972603</v>
      </c>
      <c r="H5">
        <f>SUM(pro_rated_temp!K19:K27)</f>
        <v>1.4317835616438355</v>
      </c>
      <c r="I5">
        <f>SUM(pro_rated_temp!L19:L27)</f>
        <v>1.5858767123287671</v>
      </c>
      <c r="J5">
        <f>SUM(pro_rated_temp!M19:M27)</f>
        <v>1.5858767123287671</v>
      </c>
      <c r="K5">
        <f>SUM(pro_rated_temp!N19:N27)</f>
        <v>0.52173424657534251</v>
      </c>
      <c r="L5">
        <f>SUM(pro_rated_temp!O19:O27)</f>
        <v>0.56049589041095882</v>
      </c>
      <c r="M5">
        <f>SUM(pro_rated_temp!P19:P27)</f>
        <v>0.43159178082191779</v>
      </c>
    </row>
    <row r="6" spans="1:13" x14ac:dyDescent="0.2">
      <c r="A6">
        <v>2022</v>
      </c>
      <c r="B6">
        <f>SUM(pro_rated_temp!E28:E30)</f>
        <v>0.8376986301369862</v>
      </c>
      <c r="C6">
        <f>SUM(pro_rated_temp!F28:F30)</f>
        <v>0.8376986301369862</v>
      </c>
      <c r="D6">
        <f>SUM(pro_rated_temp!G28:G30)</f>
        <v>0.8376986301369862</v>
      </c>
      <c r="E6">
        <f>SUM(pro_rated_temp!H28:H30)</f>
        <v>1.313191780821918</v>
      </c>
      <c r="F6">
        <f>SUM(pro_rated_temp!I28:I30)</f>
        <v>1.313191780821918</v>
      </c>
      <c r="G6">
        <f>SUM(pro_rated_temp!J28:J30)</f>
        <v>1.313191780821918</v>
      </c>
      <c r="H6">
        <f>SUM(pro_rated_temp!K28:K30)</f>
        <v>0.96197260273972607</v>
      </c>
      <c r="I6">
        <f>SUM(pro_rated_temp!L28:L30)</f>
        <v>1.5075178082191782</v>
      </c>
      <c r="J6">
        <f>SUM(pro_rated_temp!M28:M30)</f>
        <v>1.5075178082191782</v>
      </c>
      <c r="K6">
        <f>SUM(pro_rated_temp!N28:N30)</f>
        <v>0.66174246575342466</v>
      </c>
      <c r="L6">
        <f>SUM(pro_rated_temp!O28:O30)</f>
        <v>0.71021643835616444</v>
      </c>
      <c r="M6">
        <f>SUM(pro_rated_temp!P28:P30)</f>
        <v>0.54708767123287672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4D181-0CDC-094A-8651-FE37DDB5F4F7}">
  <dimension ref="A1:M6"/>
  <sheetViews>
    <sheetView tabSelected="1" workbookViewId="0">
      <selection activeCell="E2" sqref="E2:E6"/>
    </sheetView>
  </sheetViews>
  <sheetFormatPr baseColWidth="10" defaultRowHeight="16" x14ac:dyDescent="0.2"/>
  <cols>
    <col min="10" max="10" width="18.83203125" customWidth="1"/>
    <col min="12" max="12" width="19.6640625" customWidth="1"/>
  </cols>
  <sheetData>
    <row r="1" spans="1:13" x14ac:dyDescent="0.2">
      <c r="B1" t="str">
        <f>annual_physical_units!B1</f>
        <v>NAFTAS SIN PLOMO, DE MAS DE 92 RON (por litro)</v>
      </c>
      <c r="C1" t="str">
        <f>annual_physical_units!C1</f>
        <v>NAFTAS SIN PLOMO, DE MAS DE 92 RON (por litro)</v>
      </c>
      <c r="D1" t="str">
        <f>annual_physical_units!D1</f>
        <v>NAFTAS VIRGEN (por litro)</v>
      </c>
      <c r="E1" t="str">
        <f>annual_physical_units!E1</f>
        <v>GASOLINA NATURAL O DE PIROLISIS (por litro)</v>
      </c>
      <c r="F1" t="str">
        <f>annual_physical_units!F1</f>
        <v>SOLVENTE (por litro)</v>
      </c>
      <c r="G1" t="str">
        <f>annual_physical_units!G1</f>
        <v>AGUARRAS (por litro)</v>
      </c>
      <c r="H1" t="str">
        <f>annual_physical_units!H1</f>
        <v>GASOIL (por litro)</v>
      </c>
      <c r="I1" t="str">
        <f>annual_physical_units!I1</f>
        <v>DIESEL OIL (por litro)</v>
      </c>
      <c r="J1" t="str">
        <f>annual_physical_units!J1</f>
        <v>KEROSENE (por litro)</v>
      </c>
      <c r="K1" t="str">
        <f>annual_physical_units!K1</f>
        <v>FUEL OIL (por litro)</v>
      </c>
      <c r="L1" t="str">
        <f>annual_physical_units!L1</f>
        <v xml:space="preserve">COQUE DE PETROLEO (por kilogramo) </v>
      </c>
      <c r="M1" t="str">
        <f>annual_physical_units!M1</f>
        <v>CARBON MINERAL (por kilogramo)</v>
      </c>
    </row>
    <row r="2" spans="1:13" x14ac:dyDescent="0.2">
      <c r="A2">
        <v>2018</v>
      </c>
      <c r="E2">
        <f>annual_physical_units!E2/emission_factors!$D$3*1000</f>
        <v>253.63671984231746</v>
      </c>
      <c r="H2">
        <f>annual_physical_units!H2/emission_factors!$G$3*1000</f>
        <v>160.90119738259688</v>
      </c>
      <c r="I2">
        <f>annual_physical_units!I2/emission_factors!$H$3*1000</f>
        <v>160.90119738259688</v>
      </c>
      <c r="J2">
        <f>annual_physical_units!J2/emission_factors!$I$3*1000</f>
        <v>172.883201443003</v>
      </c>
      <c r="K2" t="e">
        <f>annual_physical_units!K2/(emission_factors!$J$3)*1000</f>
        <v>#VALUE!</v>
      </c>
      <c r="L2" t="e">
        <f>annual_physical_units!L2/(emission_factors!$K$3/1000)*1000</f>
        <v>#VALUE!</v>
      </c>
    </row>
    <row r="3" spans="1:13" x14ac:dyDescent="0.2">
      <c r="A3">
        <v>2019</v>
      </c>
      <c r="E3">
        <f>annual_physical_units!E3/emission_factors!$D$3*1000</f>
        <v>408.22036801097454</v>
      </c>
      <c r="H3">
        <f>annual_physical_units!H3/emission_factors!$G$3*1000</f>
        <v>278.13158157376864</v>
      </c>
      <c r="I3">
        <f>annual_physical_units!I3/emission_factors!$H$3*1000</f>
        <v>282.67646614751942</v>
      </c>
      <c r="J3">
        <f>annual_physical_units!J3/emission_factors!$I$3*1000</f>
        <v>303.72684128616447</v>
      </c>
      <c r="K3">
        <f>annual_physical_units!K3/(emission_factors!$J$3)*1000</f>
        <v>28.318176585702773</v>
      </c>
      <c r="L3">
        <f>annual_physical_units!L3/(emission_factors!$K$3/1000)*1000</f>
        <v>28.390262354435166</v>
      </c>
    </row>
    <row r="4" spans="1:13" x14ac:dyDescent="0.2">
      <c r="A4">
        <v>2020</v>
      </c>
      <c r="E4">
        <f>annual_physical_units!E4/emission_factors!$D$3*1000</f>
        <v>600.61485320103588</v>
      </c>
      <c r="H4">
        <f>annual_physical_units!H4/emission_factors!$G$3*1000</f>
        <v>394.29944545242847</v>
      </c>
      <c r="I4">
        <f>annual_physical_units!I4/emission_factors!$H$3*1000</f>
        <v>415.2345759259307</v>
      </c>
      <c r="J4">
        <f>annual_physical_units!J4/emission_factors!$I$3*1000</f>
        <v>446.15629966509573</v>
      </c>
      <c r="K4">
        <f>annual_physical_units!K4/(emission_factors!$J$3)*1000</f>
        <v>82.986863427085666</v>
      </c>
      <c r="L4">
        <f>annual_physical_units!L4/(emission_factors!$K$3/1000)*1000</f>
        <v>82.551025370835703</v>
      </c>
    </row>
    <row r="5" spans="1:13" x14ac:dyDescent="0.2">
      <c r="A5">
        <v>2021</v>
      </c>
      <c r="E5">
        <f>annual_physical_units!E5/emission_factors!$D$3*1000</f>
        <v>857.06150486893364</v>
      </c>
      <c r="H5">
        <f>annual_physical_units!H5/emission_factors!$G$3*1000</f>
        <v>534.94622142493381</v>
      </c>
      <c r="I5">
        <f>annual_physical_units!I5/emission_factors!$H$3*1000</f>
        <v>592.51885384971695</v>
      </c>
      <c r="J5">
        <f>annual_physical_units!J5/emission_factors!$I$3*1000</f>
        <v>636.64259828533397</v>
      </c>
      <c r="K5">
        <f>annual_physical_units!K5/(emission_factors!$J$3)*1000</f>
        <v>177.50289067987021</v>
      </c>
      <c r="L5">
        <f>annual_physical_units!L5/(emission_factors!$K$3/1000)*1000</f>
        <v>176.88233227959253</v>
      </c>
    </row>
    <row r="6" spans="1:13" x14ac:dyDescent="0.2">
      <c r="A6">
        <v>2022</v>
      </c>
      <c r="E6">
        <f>annual_physical_units!E6/emission_factors!$D$3*1000</f>
        <v>814.78673501390961</v>
      </c>
      <c r="H6">
        <f>annual_physical_units!H6/emission_factors!$G$3*1000</f>
        <v>359.41438548093635</v>
      </c>
      <c r="I6">
        <f>annual_physical_units!I6/emission_factors!$H$3*1000</f>
        <v>563.24222238713924</v>
      </c>
      <c r="J6">
        <f>annual_physical_units!J6/emission_factors!$I$3*1000</f>
        <v>605.18579213937312</v>
      </c>
      <c r="K6">
        <f>annual_physical_units!K6/(emission_factors!$J$3)*1000</f>
        <v>225.13607517212424</v>
      </c>
      <c r="L6">
        <f>annual_physical_units!L6/(emission_factors!$K$3/1000)*1000</f>
        <v>224.13142038853314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0D8FC-06EA-D74B-ABDF-D27350C0568C}">
  <dimension ref="A1:L3"/>
  <sheetViews>
    <sheetView workbookViewId="0">
      <selection activeCell="D3" sqref="D3"/>
    </sheetView>
  </sheetViews>
  <sheetFormatPr baseColWidth="10" defaultRowHeight="16" x14ac:dyDescent="0.2"/>
  <cols>
    <col min="11" max="11" width="17.33203125" customWidth="1"/>
  </cols>
  <sheetData>
    <row r="1" spans="1:12" x14ac:dyDescent="0.2">
      <c r="J1" t="s">
        <v>18</v>
      </c>
      <c r="K1" t="s">
        <v>17</v>
      </c>
    </row>
    <row r="2" spans="1:12" x14ac:dyDescent="0.2">
      <c r="A2" t="str">
        <f>annual_tco2!B1</f>
        <v>NAFTAS SIN PLOMO, DE MAS DE 92 RON (por litro)</v>
      </c>
      <c r="B2" t="str">
        <f>annual_tco2!C1</f>
        <v>NAFTAS SIN PLOMO, DE MAS DE 92 RON (por litro)</v>
      </c>
      <c r="C2" t="str">
        <f>annual_tco2!D1</f>
        <v>NAFTAS VIRGEN (por litro)</v>
      </c>
      <c r="D2" t="str">
        <f>annual_tco2!E1</f>
        <v>GASOLINA NATURAL O DE PIROLISIS (por litro)</v>
      </c>
      <c r="E2" t="str">
        <f>annual_tco2!F1</f>
        <v>SOLVENTE (por litro)</v>
      </c>
      <c r="F2" t="str">
        <f>annual_tco2!G1</f>
        <v>AGUARRAS (por litro)</v>
      </c>
      <c r="G2" t="str">
        <f>annual_tco2!H1</f>
        <v>GASOIL (por litro)</v>
      </c>
      <c r="H2" t="str">
        <f>annual_tco2!I1</f>
        <v>DIESEL OIL (por litro)</v>
      </c>
      <c r="I2" t="str">
        <f>annual_tco2!J1</f>
        <v>KEROSENE (por litro)</v>
      </c>
      <c r="J2" t="str">
        <f>annual_tco2!K1</f>
        <v>FUEL OIL (por litro)</v>
      </c>
      <c r="K2" t="str">
        <f>annual_tco2!L1</f>
        <v xml:space="preserve">COQUE DE PETROLEO (por kilogramo) </v>
      </c>
      <c r="L2" t="str">
        <f>annual_tco2!M1</f>
        <v>CARBON MINERAL (por kilogramo)</v>
      </c>
    </row>
    <row r="3" spans="1:12" x14ac:dyDescent="0.2">
      <c r="D3">
        <v>1.6116999999999999</v>
      </c>
      <c r="G3">
        <v>2.6764999999999999</v>
      </c>
      <c r="H3">
        <v>2.6764999999999999</v>
      </c>
      <c r="I3">
        <v>2.4910000000000001</v>
      </c>
      <c r="J3">
        <v>2.9392999999999998</v>
      </c>
      <c r="K3">
        <v>3168.75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econ_ministry_table</vt:lpstr>
      <vt:lpstr>pro_rated_temp</vt:lpstr>
      <vt:lpstr>annual_physical_units</vt:lpstr>
      <vt:lpstr>annual_tco2</vt:lpstr>
      <vt:lpstr>emission_factors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Geoffroy Dolphin</dc:creator>
  <cp:lastModifiedBy>Geoffroy Dolphin</cp:lastModifiedBy>
  <dcterms:created xsi:type="dcterms:W3CDTF">2022-04-25T13:53:24Z</dcterms:created>
  <dcterms:modified xsi:type="dcterms:W3CDTF">2023-02-03T20:13:51Z</dcterms:modified>
</cp:coreProperties>
</file>