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resources-my.sharepoint.com/personal/gdolphin_rff_org/Documents/Documents/Research/projects/ecp/wcpd_dataset/source_data/price_preproc/mex/"/>
    </mc:Choice>
  </mc:AlternateContent>
  <xr:revisionPtr revIDLastSave="46" documentId="13_ncr:1_{6FA28261-B40B-AF4E-B3CF-5837B2F21187}" xr6:coauthVersionLast="47" xr6:coauthVersionMax="47" xr10:uidLastSave="{CA9C6B3F-66D9-46FB-9831-57FD401FFA6D}"/>
  <bookViews>
    <workbookView xWindow="-93" yWindow="-93" windowWidth="19386" windowHeight="12266" tabRatio="500" xr2:uid="{00000000-000D-0000-FFFF-FFFF00000000}"/>
  </bookViews>
  <sheets>
    <sheet name="Sheet1" sheetId="1" r:id="rId1"/>
    <sheet name="emissions_factors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1" i="1" l="1"/>
  <c r="I12" i="1"/>
  <c r="I13" i="1"/>
  <c r="G11" i="1"/>
  <c r="G12" i="1"/>
  <c r="G13" i="1"/>
  <c r="F11" i="1"/>
  <c r="F12" i="1"/>
  <c r="F13" i="1"/>
  <c r="I3" i="1"/>
  <c r="I5" i="1"/>
  <c r="I6" i="1"/>
  <c r="I7" i="1"/>
  <c r="I8" i="1"/>
  <c r="I9" i="1"/>
  <c r="I10" i="1"/>
  <c r="I4" i="1"/>
  <c r="H10" i="1"/>
  <c r="F3" i="1"/>
  <c r="G3" i="1"/>
  <c r="H3" i="1"/>
  <c r="F4" i="1"/>
  <c r="G4" i="1"/>
  <c r="H4" i="1"/>
  <c r="F5" i="1"/>
  <c r="G5" i="1"/>
  <c r="H5" i="1"/>
  <c r="F6" i="1"/>
  <c r="G6" i="1"/>
  <c r="H6" i="1"/>
  <c r="F7" i="1"/>
  <c r="G7" i="1"/>
  <c r="H7" i="1"/>
  <c r="F8" i="1"/>
  <c r="G8" i="1"/>
  <c r="H8" i="1"/>
  <c r="F10" i="1"/>
  <c r="G10" i="1"/>
  <c r="G9" i="1"/>
  <c r="H9" i="1"/>
  <c r="F9" i="1"/>
  <c r="D2" i="2"/>
</calcChain>
</file>

<file path=xl/sharedStrings.xml><?xml version="1.0" encoding="utf-8"?>
<sst xmlns="http://schemas.openxmlformats.org/spreadsheetml/2006/main" count="27" uniqueCount="17">
  <si>
    <t>Fuel type</t>
  </si>
  <si>
    <t>Year</t>
  </si>
  <si>
    <t>Natural gas</t>
  </si>
  <si>
    <t>Diesel (cents/l)</t>
  </si>
  <si>
    <t>Diesel (pesos/tCO2)</t>
  </si>
  <si>
    <t>Coal (pesos/tCO2)</t>
  </si>
  <si>
    <t>Diesel (tCO2/l)</t>
  </si>
  <si>
    <t>Coal (tCO2/tonne)</t>
  </si>
  <si>
    <t>EF</t>
  </si>
  <si>
    <t>Coal (pesos/tonne)</t>
  </si>
  <si>
    <t>LIEP(2020)</t>
  </si>
  <si>
    <t>Propane (cents/l)</t>
  </si>
  <si>
    <t>Propane (pesos/tCO2)</t>
  </si>
  <si>
    <t>Propane (tCO2/l)</t>
  </si>
  <si>
    <t>source</t>
  </si>
  <si>
    <t>Other fuels</t>
  </si>
  <si>
    <t>LIEP(2024)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</si>
</sst>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J16" sqref="J16"/>
    </sheetView>
  </sheetViews>
  <sheetFormatPr defaultColWidth="10.6640625" defaultRowHeight="15.7" x14ac:dyDescent="0.55000000000000004"/>
  <cols>
    <col min="2" max="2" width="13.1640625" bestFit="1" customWidth="1"/>
    <col min="3" max="3" width="15.1640625" bestFit="1" customWidth="1"/>
    <col min="5" max="5" width="12.1640625" bestFit="1" customWidth="1"/>
  </cols>
  <sheetData>
    <row r="1" spans="1:11" x14ac:dyDescent="0.55000000000000004">
      <c r="A1" t="s">
        <v>1</v>
      </c>
      <c r="B1" s="2" t="s">
        <v>0</v>
      </c>
      <c r="C1" s="2"/>
      <c r="D1" s="2"/>
      <c r="E1" s="2"/>
      <c r="F1" s="2" t="s">
        <v>0</v>
      </c>
      <c r="G1" s="2"/>
      <c r="H1" s="2"/>
      <c r="I1" s="2"/>
      <c r="J1" s="1"/>
    </row>
    <row r="2" spans="1:11" x14ac:dyDescent="0.55000000000000004">
      <c r="B2" t="s">
        <v>3</v>
      </c>
      <c r="C2" t="s">
        <v>11</v>
      </c>
      <c r="D2" t="s">
        <v>2</v>
      </c>
      <c r="E2" t="s">
        <v>9</v>
      </c>
      <c r="F2" t="s">
        <v>4</v>
      </c>
      <c r="G2" t="s">
        <v>12</v>
      </c>
      <c r="H2" t="s">
        <v>2</v>
      </c>
      <c r="I2" t="s">
        <v>5</v>
      </c>
      <c r="J2" t="s">
        <v>15</v>
      </c>
      <c r="K2" t="s">
        <v>14</v>
      </c>
    </row>
    <row r="3" spans="1:11" x14ac:dyDescent="0.55000000000000004">
      <c r="A3">
        <v>2014</v>
      </c>
      <c r="B3">
        <v>12.59</v>
      </c>
      <c r="C3">
        <v>5.91</v>
      </c>
      <c r="D3">
        <v>0</v>
      </c>
      <c r="E3">
        <v>27.54</v>
      </c>
      <c r="F3">
        <f>B3/100/emissions_factors!$B$2</f>
        <v>47.039184126087434</v>
      </c>
      <c r="G3">
        <f>C3/100/emissions_factors!$B$2</f>
        <v>22.081142032182424</v>
      </c>
      <c r="H3">
        <f>D4/100/emissions_factors!$B$2</f>
        <v>0</v>
      </c>
      <c r="I3">
        <f>E3/emissions_factors!$B$3</f>
        <v>10.431818181818182</v>
      </c>
      <c r="J3">
        <v>39.799999999999997</v>
      </c>
    </row>
    <row r="4" spans="1:11" x14ac:dyDescent="0.55000000000000004">
      <c r="A4">
        <v>2015</v>
      </c>
      <c r="B4">
        <v>13.11</v>
      </c>
      <c r="C4">
        <v>6.15</v>
      </c>
      <c r="D4">
        <v>0</v>
      </c>
      <c r="E4">
        <v>28.68</v>
      </c>
      <c r="F4">
        <f>B4/100/emissions_factors!$B$2</f>
        <v>48.982025726211774</v>
      </c>
      <c r="G4">
        <f>C4/100/emissions_factors!$B$2</f>
        <v>22.977838155316739</v>
      </c>
      <c r="H4">
        <f>D5/100/emissions_factors!$B$2</f>
        <v>0</v>
      </c>
      <c r="I4">
        <f>E4/emissions_factors!$B$3</f>
        <v>10.863636363636363</v>
      </c>
      <c r="J4">
        <v>41.45</v>
      </c>
      <c r="K4" t="s">
        <v>10</v>
      </c>
    </row>
    <row r="5" spans="1:11" x14ac:dyDescent="0.55000000000000004">
      <c r="A5">
        <v>2016</v>
      </c>
      <c r="B5">
        <v>13.11</v>
      </c>
      <c r="C5">
        <v>6.15</v>
      </c>
      <c r="D5">
        <v>0</v>
      </c>
      <c r="E5">
        <v>28.68</v>
      </c>
      <c r="F5">
        <f>B5/100/emissions_factors!$B$2</f>
        <v>48.982025726211774</v>
      </c>
      <c r="G5">
        <f>C5/100/emissions_factors!$B$2</f>
        <v>22.977838155316739</v>
      </c>
      <c r="H5">
        <f>D6/100/emissions_factors!$B$2</f>
        <v>0</v>
      </c>
      <c r="I5">
        <f>E5/emissions_factors!$B$3</f>
        <v>10.863636363636363</v>
      </c>
      <c r="J5">
        <v>41.45</v>
      </c>
      <c r="K5" t="s">
        <v>10</v>
      </c>
    </row>
    <row r="6" spans="1:11" x14ac:dyDescent="0.55000000000000004">
      <c r="A6">
        <v>2017</v>
      </c>
      <c r="B6">
        <v>13.84</v>
      </c>
      <c r="C6">
        <v>6.5</v>
      </c>
      <c r="D6">
        <v>0</v>
      </c>
      <c r="E6">
        <v>30.28</v>
      </c>
      <c r="F6">
        <f>B6/100/emissions_factors!$B$2</f>
        <v>51.709476434078638</v>
      </c>
      <c r="G6">
        <f>C6/100/emissions_factors!$B$2</f>
        <v>24.285520001554275</v>
      </c>
      <c r="H6">
        <f>D7/100/emissions_factors!$B$2</f>
        <v>0</v>
      </c>
      <c r="I6">
        <f>E6/emissions_factors!$B$3</f>
        <v>11.469696969696969</v>
      </c>
      <c r="J6">
        <v>43.77</v>
      </c>
      <c r="K6" t="s">
        <v>10</v>
      </c>
    </row>
    <row r="7" spans="1:11" x14ac:dyDescent="0.55000000000000004">
      <c r="A7">
        <v>2018</v>
      </c>
      <c r="B7">
        <v>14.76</v>
      </c>
      <c r="C7">
        <v>6.93</v>
      </c>
      <c r="D7">
        <v>0</v>
      </c>
      <c r="E7">
        <v>32.29</v>
      </c>
      <c r="F7">
        <f>B7/100/emissions_factors!$B$2</f>
        <v>55.146811572760171</v>
      </c>
      <c r="G7">
        <f>C7/100/emissions_factors!$B$2</f>
        <v>25.892100555503248</v>
      </c>
      <c r="H7">
        <f>D8/100/emissions_factors!$B$2</f>
        <v>0</v>
      </c>
      <c r="I7">
        <f>E7/emissions_factors!$B$3</f>
        <v>12.231060606060606</v>
      </c>
      <c r="J7">
        <v>46.67</v>
      </c>
      <c r="K7" t="s">
        <v>10</v>
      </c>
    </row>
    <row r="8" spans="1:11" x14ac:dyDescent="0.55000000000000004">
      <c r="A8">
        <v>2019</v>
      </c>
      <c r="B8">
        <v>15.46</v>
      </c>
      <c r="C8">
        <v>7.26</v>
      </c>
      <c r="D8">
        <v>0</v>
      </c>
      <c r="E8">
        <v>33.81</v>
      </c>
      <c r="F8">
        <f>B8/100/emissions_factors!$B$2</f>
        <v>57.76217526523525</v>
      </c>
      <c r="G8">
        <f>C8/100/emissions_factors!$B$2</f>
        <v>27.125057724812926</v>
      </c>
      <c r="H8">
        <f>D9/100/emissions_factors!$B$2</f>
        <v>0</v>
      </c>
      <c r="I8">
        <f>E8/emissions_factors!$B$3</f>
        <v>12.806818181818182</v>
      </c>
      <c r="J8">
        <v>48.87</v>
      </c>
      <c r="K8" t="s">
        <v>10</v>
      </c>
    </row>
    <row r="9" spans="1:11" x14ac:dyDescent="0.55000000000000004">
      <c r="A9">
        <v>2020</v>
      </c>
      <c r="B9">
        <v>15.92</v>
      </c>
      <c r="C9">
        <v>7.48</v>
      </c>
      <c r="D9">
        <v>0</v>
      </c>
      <c r="E9">
        <v>34.81</v>
      </c>
      <c r="F9">
        <f>B9/100/emissions_factors!$B$2</f>
        <v>59.480842834576009</v>
      </c>
      <c r="G9">
        <f>C9/100/emissions_factors!$B$2</f>
        <v>27.947029171019381</v>
      </c>
      <c r="H9">
        <f>D10/100/emissions_factors!$B$2</f>
        <v>0</v>
      </c>
      <c r="I9">
        <f>E9/emissions_factors!$B$3</f>
        <v>13.185606060606061</v>
      </c>
      <c r="J9">
        <v>50.32</v>
      </c>
      <c r="K9" t="s">
        <v>10</v>
      </c>
    </row>
    <row r="10" spans="1:11" x14ac:dyDescent="0.55000000000000004">
      <c r="A10">
        <v>2021</v>
      </c>
      <c r="B10">
        <v>16.450099999999999</v>
      </c>
      <c r="C10">
        <v>7.7290999999999999</v>
      </c>
      <c r="D10">
        <v>0</v>
      </c>
      <c r="E10">
        <v>35.969200000000001</v>
      </c>
      <c r="F10">
        <f>B10/100/emissions_factors!$B$2</f>
        <v>61.46142039654891</v>
      </c>
      <c r="G10">
        <f>C10/100/emissions_factors!$B$2</f>
        <v>28.877725022155868</v>
      </c>
      <c r="H10">
        <f>D11/100/emissions_factors!$B$2</f>
        <v>0</v>
      </c>
      <c r="I10">
        <f>E10/emissions_factors!$B$3</f>
        <v>13.62469696969697</v>
      </c>
      <c r="J10">
        <v>51.995699999999999</v>
      </c>
      <c r="K10" t="s">
        <v>10</v>
      </c>
    </row>
    <row r="11" spans="1:11" x14ac:dyDescent="0.55000000000000004">
      <c r="A11">
        <v>2022</v>
      </c>
      <c r="B11">
        <v>17.662400000000002</v>
      </c>
      <c r="C11">
        <v>8.2987000000000002</v>
      </c>
      <c r="D11">
        <v>0</v>
      </c>
      <c r="E11">
        <v>38.620100000000001</v>
      </c>
      <c r="F11">
        <f>B11/100/emissions_factors!$B$2</f>
        <v>65.99085668853111</v>
      </c>
      <c r="G11">
        <f>C11/100/emissions_factors!$B$2</f>
        <v>31.005883821061303</v>
      </c>
      <c r="H11">
        <v>0</v>
      </c>
      <c r="I11">
        <f>E11/emissions_factors!$B$3</f>
        <v>14.628825757575758</v>
      </c>
      <c r="J11">
        <v>55.8277</v>
      </c>
      <c r="K11" t="s">
        <v>16</v>
      </c>
    </row>
    <row r="12" spans="1:11" x14ac:dyDescent="0.55000000000000004">
      <c r="A12">
        <v>2023</v>
      </c>
      <c r="B12">
        <v>19.0383</v>
      </c>
      <c r="C12">
        <v>8.9451000000000001</v>
      </c>
      <c r="D12">
        <v>0</v>
      </c>
      <c r="E12">
        <v>41.628599999999999</v>
      </c>
      <c r="F12">
        <f>B12/100/emissions_factors!$B$2</f>
        <v>71.131540837783191</v>
      </c>
      <c r="G12">
        <f>C12/100/emissions_factors!$B$2</f>
        <v>33.420985379369711</v>
      </c>
      <c r="H12">
        <v>0</v>
      </c>
      <c r="I12">
        <f>E12/emissions_factors!$B$3</f>
        <v>15.76840909090909</v>
      </c>
      <c r="J12">
        <v>60.176600000000001</v>
      </c>
      <c r="K12" t="s">
        <v>16</v>
      </c>
    </row>
    <row r="13" spans="1:11" x14ac:dyDescent="0.55000000000000004">
      <c r="A13">
        <v>2024</v>
      </c>
      <c r="B13">
        <v>19.860700000000001</v>
      </c>
      <c r="C13">
        <v>9.3315000000000001</v>
      </c>
      <c r="D13">
        <v>0</v>
      </c>
      <c r="E13">
        <v>43.426900000000003</v>
      </c>
      <c r="F13">
        <f>B13/100/emissions_factors!$B$2</f>
        <v>74.20421955305676</v>
      </c>
      <c r="G13">
        <f>C13/100/emissions_factors!$B$2</f>
        <v>34.864666137615956</v>
      </c>
      <c r="H13">
        <v>0</v>
      </c>
      <c r="I13">
        <f>E13/emissions_factors!$B$3</f>
        <v>16.449583333333333</v>
      </c>
      <c r="J13">
        <v>62.776200000000003</v>
      </c>
      <c r="K13" t="s">
        <v>16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B4" sqref="B4"/>
    </sheetView>
  </sheetViews>
  <sheetFormatPr defaultColWidth="10.6640625" defaultRowHeight="15.7" x14ac:dyDescent="0.55000000000000004"/>
  <cols>
    <col min="1" max="1" width="16" bestFit="1" customWidth="1"/>
  </cols>
  <sheetData>
    <row r="1" spans="1:4" x14ac:dyDescent="0.55000000000000004">
      <c r="B1" t="s">
        <v>8</v>
      </c>
    </row>
    <row r="2" spans="1:4" x14ac:dyDescent="0.55000000000000004">
      <c r="A2" t="s">
        <v>6</v>
      </c>
      <c r="B2">
        <v>2.6764919999999999E-3</v>
      </c>
      <c r="D2">
        <f>0.722*3.67/1000</f>
        <v>2.6497399999999998E-3</v>
      </c>
    </row>
    <row r="3" spans="1:4" x14ac:dyDescent="0.55000000000000004">
      <c r="A3" t="s">
        <v>7</v>
      </c>
      <c r="B3">
        <v>2.64</v>
      </c>
    </row>
    <row r="4" spans="1:4" x14ac:dyDescent="0.55000000000000004">
      <c r="A4" t="s">
        <v>13</v>
      </c>
      <c r="B4">
        <v>1.6117002E-3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emissions_factors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Joiner, Emily</cp:lastModifiedBy>
  <dcterms:created xsi:type="dcterms:W3CDTF">2021-02-17T13:24:45Z</dcterms:created>
  <dcterms:modified xsi:type="dcterms:W3CDTF">2025-07-03T20:06:45Z</dcterms:modified>
</cp:coreProperties>
</file>